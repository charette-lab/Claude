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hanase.sharepoint.com/sites/Stefan/Delade dokument/General/Track Record/"/>
    </mc:Choice>
  </mc:AlternateContent>
  <xr:revisionPtr revIDLastSave="984" documentId="8_{FE323287-A8F9-434B-9D72-9FF8170D48B7}" xr6:coauthVersionLast="47" xr6:coauthVersionMax="47" xr10:uidLastSave="{A794A3FA-D7C0-4BD2-A11A-0E1CD099C932}"/>
  <bookViews>
    <workbookView xWindow="-120" yWindow="-120" windowWidth="51840" windowHeight="21120" xr2:uid="{585A1D6D-4FDC-4D8A-9C06-7A62EEF85379}"/>
  </bookViews>
  <sheets>
    <sheet name="Monthly Returns" sheetId="1" r:id="rId1"/>
    <sheet name="Transactions" sheetId="2" r:id="rId2"/>
    <sheet name="Deal type" sheetId="3" r:id="rId3"/>
    <sheet name="Sheet1" sheetId="13" r:id="rId4"/>
    <sheet name="Sheet2" sheetId="14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1" i="2" l="1"/>
  <c r="Z10" i="2"/>
  <c r="Z9" i="2"/>
  <c r="Z6" i="2"/>
  <c r="Y6" i="2"/>
  <c r="X10" i="2"/>
  <c r="X11" i="2"/>
  <c r="X9" i="2"/>
  <c r="X6" i="2"/>
  <c r="E5" i="3"/>
  <c r="D5" i="3"/>
  <c r="O49" i="3" l="1"/>
  <c r="N49" i="3"/>
  <c r="M49" i="3"/>
</calcChain>
</file>

<file path=xl/sharedStrings.xml><?xml version="1.0" encoding="utf-8"?>
<sst xmlns="http://schemas.openxmlformats.org/spreadsheetml/2006/main" count="544" uniqueCount="197">
  <si>
    <t xml:space="preserve"> 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</si>
  <si>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</si>
  <si>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</si>
  <si>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</si>
  <si>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</si>
  <si>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</si>
  <si>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</si>
  <si>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</si>
  <si>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</si>
  <si>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</si>
  <si>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</si>
  <si>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</si>
  <si>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</si>
  <si>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</t>
  </si>
  <si>
    <t>MSCI</t>
  </si>
  <si>
    <t>Date</t>
  </si>
  <si>
    <t>Company</t>
  </si>
  <si>
    <t>IRR</t>
  </si>
  <si>
    <t>Index</t>
  </si>
  <si>
    <t>Invested</t>
  </si>
  <si>
    <t>Returned</t>
  </si>
  <si>
    <t>MOIC</t>
  </si>
  <si>
    <t>2015-2025</t>
  </si>
  <si>
    <t>Bufab</t>
  </si>
  <si>
    <t xml:space="preserve">These two tables show the larger deals we have done during the </t>
  </si>
  <si>
    <t>DistIt</t>
  </si>
  <si>
    <t>teams investment periods from 2006 until today.</t>
  </si>
  <si>
    <t>2016-2025</t>
  </si>
  <si>
    <t>Ngex</t>
  </si>
  <si>
    <t>The first table is our latest fund starting at the end of Feburary in 2015.</t>
  </si>
  <si>
    <t>Alcadon</t>
  </si>
  <si>
    <t>and the second the previous period 2006-2014 when we set up our new fund.</t>
  </si>
  <si>
    <t>2018-2025</t>
  </si>
  <si>
    <t>Tempest</t>
  </si>
  <si>
    <t>Zalaris</t>
  </si>
  <si>
    <t>We have been running two funds paripasu during this time period</t>
  </si>
  <si>
    <t>Zutec</t>
  </si>
  <si>
    <t xml:space="preserve">This means that the total invested amount is about twice and the </t>
  </si>
  <si>
    <t>2019-2025</t>
  </si>
  <si>
    <t>Roko</t>
  </si>
  <si>
    <t>returned amout twice so 3800 and 8400 respectivly.</t>
  </si>
  <si>
    <t>2020-2025</t>
  </si>
  <si>
    <t>Catella</t>
  </si>
  <si>
    <t>So both periods have yielded roughly the same type of returns.</t>
  </si>
  <si>
    <t>AI</t>
  </si>
  <si>
    <t>2024-2025</t>
  </si>
  <si>
    <t>Renold</t>
  </si>
  <si>
    <t xml:space="preserve">The holding period for AIP Fund II has been shorter so we have </t>
  </si>
  <si>
    <t>2017-2023</t>
  </si>
  <si>
    <t>Actic</t>
  </si>
  <si>
    <t>managed to increase the velocity of our deployed capital somewhat.</t>
  </si>
  <si>
    <t>2019-2022</t>
  </si>
  <si>
    <t>Haldex</t>
  </si>
  <si>
    <t>2015-2020</t>
  </si>
  <si>
    <t>Robit</t>
  </si>
  <si>
    <t>Some of the deals in the date section is at the end of the year but we</t>
  </si>
  <si>
    <t>2016-2018</t>
  </si>
  <si>
    <t>Kitron</t>
  </si>
  <si>
    <t>show the full years for clarity in the table.</t>
  </si>
  <si>
    <t>2015-2017</t>
  </si>
  <si>
    <t>Sandvik</t>
  </si>
  <si>
    <t>2015-2016</t>
  </si>
  <si>
    <t>Transcom</t>
  </si>
  <si>
    <t>The two tables show that the strategy is repetable over the 20 year</t>
  </si>
  <si>
    <t>Average</t>
  </si>
  <si>
    <t>period and we believe it will be repetable for the next 20 years as well.</t>
  </si>
  <si>
    <t>Total and invested capital weighted</t>
  </si>
  <si>
    <t>Historical deals between 2006-2014</t>
  </si>
  <si>
    <t>2007-2014</t>
  </si>
  <si>
    <t>2011-2014</t>
  </si>
  <si>
    <t>2009-2014</t>
  </si>
  <si>
    <t>2012-2014</t>
  </si>
  <si>
    <t>2010-2014</t>
  </si>
  <si>
    <t>2011-2013</t>
  </si>
  <si>
    <t>2006-2007</t>
  </si>
  <si>
    <t>2006-2006</t>
  </si>
  <si>
    <t>2006-2014</t>
  </si>
  <si>
    <t>2006-2011</t>
  </si>
  <si>
    <t>2007-2011</t>
  </si>
  <si>
    <t>2003-2006</t>
  </si>
  <si>
    <t>2007-2010</t>
  </si>
  <si>
    <t xml:space="preserve">Bilia </t>
  </si>
  <si>
    <t>Concentric</t>
  </si>
  <si>
    <t>eWork</t>
  </si>
  <si>
    <t>Lindab</t>
  </si>
  <si>
    <t>Note</t>
  </si>
  <si>
    <t>Global</t>
  </si>
  <si>
    <t>Ferronordic Machines</t>
  </si>
  <si>
    <t>Klarna</t>
  </si>
  <si>
    <t>Acne</t>
  </si>
  <si>
    <t>Usports</t>
  </si>
  <si>
    <t>Catena</t>
  </si>
  <si>
    <t>Tigerholm Products</t>
  </si>
  <si>
    <t>Avanza</t>
  </si>
  <si>
    <t>Fabege</t>
  </si>
  <si>
    <t>Johnson Pump</t>
  </si>
  <si>
    <t>Klövern</t>
  </si>
  <si>
    <t>Nobia</t>
  </si>
  <si>
    <t>SkiStar</t>
  </si>
  <si>
    <t>Brokk</t>
  </si>
  <si>
    <t>HQ</t>
  </si>
  <si>
    <t>We compare our return with the equity markets performance to show</t>
  </si>
  <si>
    <t>our alpha creation in the period.</t>
  </si>
  <si>
    <t>MSCI for the first table as we invest globally and SIX Return Index given</t>
  </si>
  <si>
    <t>removing the best and the worst investment</t>
  </si>
  <si>
    <t>Yearly</t>
  </si>
  <si>
    <t>outperformance</t>
  </si>
  <si>
    <t>Started setup of AIP Fund II from July 2014</t>
  </si>
  <si>
    <t>The table shows an investment made in the specified month and held until 2025-12-31.</t>
  </si>
  <si>
    <t xml:space="preserve">The cut of at 2023 is to show the two year soft lock-up is an indication of the  </t>
  </si>
  <si>
    <t>minimum time an investor should think about the investment in AIP Fund II</t>
  </si>
  <si>
    <t>Outperformance</t>
  </si>
  <si>
    <t>The invested and returned capital is in SEK. Invested amounts in $ is about $400M.</t>
  </si>
  <si>
    <t xml:space="preserve">The chosen index reflects the investment geography but given the long time period most equity indicies have performed </t>
  </si>
  <si>
    <t>similarly and there is a clear alpha creation compared to directional equity.</t>
  </si>
  <si>
    <t>USD Net Returns per month since 23 Feb 2015 - 1.75% management fee and 20% performance fee with high water mark</t>
  </si>
  <si>
    <t>* USD/SEK is hedged using rolling forward contract each month</t>
  </si>
  <si>
    <t>SEK Net Returns per month since 23 Feb 2015 - 1.75% management fee and 20% performance fee with high water mark</t>
  </si>
  <si>
    <t>SEK Net Returns per month since 2006</t>
  </si>
  <si>
    <t>SEK Net Returns if invested in the month specified</t>
  </si>
  <si>
    <t>and longer holding periods has historically resulted in higher returns.</t>
  </si>
  <si>
    <t>the tilt for the Nordics in the first fund.</t>
  </si>
  <si>
    <t xml:space="preserve">USD Net Returns per month between FY2006- June 30, 2014 </t>
  </si>
  <si>
    <t>Poor allocation</t>
  </si>
  <si>
    <t>Formation</t>
  </si>
  <si>
    <t>Engaged owner</t>
  </si>
  <si>
    <t>During this period we have made 39 larger investments, have positive</t>
  </si>
  <si>
    <t>returns in 36 and lost money in 3.</t>
  </si>
  <si>
    <t>Industry</t>
  </si>
  <si>
    <t>Industrial</t>
  </si>
  <si>
    <t>Materials</t>
  </si>
  <si>
    <t>Software</t>
  </si>
  <si>
    <t>Finance</t>
  </si>
  <si>
    <t>Services</t>
  </si>
  <si>
    <t>Automotive</t>
  </si>
  <si>
    <t>Retail</t>
  </si>
  <si>
    <t>Real Estate</t>
  </si>
  <si>
    <t>Consumer Stables</t>
  </si>
  <si>
    <t>Annual growth in</t>
  </si>
  <si>
    <t>#</t>
  </si>
  <si>
    <t>2004-2014</t>
  </si>
  <si>
    <t>04-10</t>
  </si>
  <si>
    <t>Weighted with invested capital</t>
  </si>
  <si>
    <t xml:space="preserve">                     Net of fees @ 1,5% / 20%</t>
  </si>
  <si>
    <t>Return</t>
  </si>
  <si>
    <t>MOI</t>
  </si>
  <si>
    <t>Gross</t>
  </si>
  <si>
    <t>SIX</t>
  </si>
  <si>
    <t xml:space="preserve">Yearly </t>
  </si>
  <si>
    <t>1996-2004</t>
  </si>
  <si>
    <t>Capital (M SEK)</t>
  </si>
  <si>
    <t>(SEK M)</t>
  </si>
  <si>
    <t>(X)</t>
  </si>
  <si>
    <t>outp.</t>
  </si>
  <si>
    <t>Sales</t>
  </si>
  <si>
    <t>EBIT</t>
  </si>
  <si>
    <t>07-14</t>
  </si>
  <si>
    <t>10-14</t>
  </si>
  <si>
    <t>09-14</t>
  </si>
  <si>
    <t>12-14</t>
  </si>
  <si>
    <t>11-14</t>
  </si>
  <si>
    <t>07-13</t>
  </si>
  <si>
    <t>06-14</t>
  </si>
  <si>
    <t>11-13</t>
  </si>
  <si>
    <t>06-07</t>
  </si>
  <si>
    <t>06</t>
  </si>
  <si>
    <t>04-14</t>
  </si>
  <si>
    <t>04-11</t>
  </si>
  <si>
    <t>04-06</t>
  </si>
  <si>
    <t>99-03</t>
  </si>
  <si>
    <t>Bilia 1</t>
  </si>
  <si>
    <t>96-98</t>
  </si>
  <si>
    <t xml:space="preserve">Skanska </t>
  </si>
  <si>
    <t>97-01</t>
  </si>
  <si>
    <t>Svedala</t>
  </si>
  <si>
    <t>97-99</t>
  </si>
  <si>
    <t>ASG</t>
  </si>
  <si>
    <t>96-01</t>
  </si>
  <si>
    <t>SCA</t>
  </si>
  <si>
    <t>98-03</t>
  </si>
  <si>
    <t>Perbio</t>
  </si>
  <si>
    <t>Perstorp</t>
  </si>
  <si>
    <t>99-04</t>
  </si>
  <si>
    <t>Acando</t>
  </si>
  <si>
    <t>01-03</t>
  </si>
  <si>
    <t>Pergo</t>
  </si>
  <si>
    <t>CAGR</t>
  </si>
  <si>
    <t>Investment date</t>
  </si>
  <si>
    <t>Divestment date</t>
  </si>
  <si>
    <t>n.m</t>
  </si>
  <si>
    <t xml:space="preserve">Sales </t>
  </si>
  <si>
    <t xml:space="preserve">EBIT </t>
  </si>
  <si>
    <t>2015-2026</t>
  </si>
  <si>
    <t># deals</t>
  </si>
  <si>
    <t>Returns</t>
  </si>
  <si>
    <t>MoIC</t>
  </si>
  <si>
    <t>1996-2005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</si>
</sst>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%;_(* \(#,##0.0\)%;_(* &quot;   -&quot;?_)"/>
    <numFmt numFmtId="165" formatCode="0.000%"/>
    <numFmt numFmtId="166" formatCode="_(* #,##0.0\x;_(* \(#,##0.0\)\x;_(* &quot;   -&quot;?_)"/>
    <numFmt numFmtId="167" formatCode="_(* #,##0_);_(* \(#,##0\);_(* &quot;   -&quot;?_);_(@_)"/>
    <numFmt numFmtId="168" formatCode="_(* #,##0.0\x;_(* \(#,##0.0\)\x"/>
    <numFmt numFmtId="169" formatCode="0.0%"/>
    <numFmt numFmtId="170" formatCode="0.00000000000000%"/>
    <numFmt numFmtId="171" formatCode="_(* #,##0.0_);_(* \(#,##0.0\);_(* &quot;   -&quot;?_);_(@_)"/>
    <numFmt numFmtId="172" formatCode="_(* #,##0.0%;_(* \(#,##0.0\)%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rgb="FFFFFFFF"/>
      <name val="Arial"/>
      <family val="2"/>
    </font>
    <font>
      <sz val="8"/>
      <color rgb="FF314359"/>
      <name val="Arial"/>
      <family val="2"/>
    </font>
    <font>
      <sz val="8"/>
      <color rgb="FF53565A"/>
      <name val="Helvetica"/>
    </font>
    <font>
      <b/>
      <sz val="8"/>
      <color rgb="FFFFFFFF"/>
      <name val="Helvetica"/>
    </font>
    <font>
      <b/>
      <sz val="8"/>
      <color rgb="FF314359"/>
      <name val="Helvetica"/>
    </font>
    <font>
      <sz val="9"/>
      <color rgb="FF53565A"/>
      <name val="Arial"/>
      <family val="2"/>
    </font>
    <font>
      <sz val="8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i/>
      <sz val="11"/>
      <color rgb="FF00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8"/>
      <color rgb="FF314359"/>
      <name val="Arial"/>
      <family val="2"/>
    </font>
    <font>
      <sz val="9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31435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6F7F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rgb="FF53565A"/>
      </left>
      <right style="thin">
        <color rgb="FFFFFFFF"/>
      </right>
      <top style="thin">
        <color rgb="FF53565A"/>
      </top>
      <bottom/>
      <diagonal/>
    </border>
    <border>
      <left style="thin">
        <color rgb="FFFFFFFF"/>
      </left>
      <right style="thin">
        <color rgb="FFFFFFFF"/>
      </right>
      <top style="thin">
        <color rgb="FF53565A"/>
      </top>
      <bottom/>
      <diagonal/>
    </border>
    <border>
      <left style="thin">
        <color rgb="FFFFFFFF"/>
      </left>
      <right style="thin">
        <color rgb="FF53565A"/>
      </right>
      <top style="thin">
        <color rgb="FF53565A"/>
      </top>
      <bottom/>
      <diagonal/>
    </border>
    <border>
      <left/>
      <right/>
      <top/>
      <bottom style="thin">
        <color rgb="FFE2E5E9"/>
      </bottom>
      <diagonal/>
    </border>
    <border>
      <left/>
      <right/>
      <top style="thin">
        <color rgb="FFE2E5E9"/>
      </top>
      <bottom style="thin">
        <color rgb="FFE2E5E9"/>
      </bottom>
      <diagonal/>
    </border>
    <border>
      <left/>
      <right/>
      <top style="thin">
        <color rgb="FFE2E5E9"/>
      </top>
      <bottom/>
      <diagonal/>
    </border>
    <border>
      <left/>
      <right/>
      <top/>
      <bottom style="thin">
        <color rgb="FF53565A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FFFFFF"/>
      </left>
      <right/>
      <top style="thin">
        <color rgb="FF53565A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0" fontId="4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0" fillId="3" borderId="0" xfId="0" applyFill="1"/>
    <xf numFmtId="0" fontId="5" fillId="4" borderId="4" xfId="0" applyFont="1" applyFill="1" applyBorder="1" applyAlignment="1">
      <alignment horizontal="left" vertical="center" wrapText="1" indent="1"/>
    </xf>
    <xf numFmtId="164" fontId="5" fillId="4" borderId="4" xfId="0" applyNumberFormat="1" applyFont="1" applyFill="1" applyBorder="1" applyAlignment="1">
      <alignment horizontal="center" vertical="center" wrapText="1"/>
    </xf>
    <xf numFmtId="164" fontId="5" fillId="5" borderId="4" xfId="0" applyNumberFormat="1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 indent="1"/>
    </xf>
    <xf numFmtId="164" fontId="5" fillId="4" borderId="5" xfId="0" applyNumberFormat="1" applyFont="1" applyFill="1" applyBorder="1" applyAlignment="1">
      <alignment horizontal="center" vertical="center" wrapText="1"/>
    </xf>
    <xf numFmtId="164" fontId="5" fillId="6" borderId="5" xfId="0" applyNumberFormat="1" applyFont="1" applyFill="1" applyBorder="1" applyAlignment="1">
      <alignment horizontal="center" vertical="center" wrapText="1"/>
    </xf>
    <xf numFmtId="164" fontId="5" fillId="7" borderId="5" xfId="0" applyNumberFormat="1" applyFont="1" applyFill="1" applyBorder="1" applyAlignment="1">
      <alignment horizontal="center" vertical="center" wrapText="1"/>
    </xf>
    <xf numFmtId="164" fontId="5" fillId="5" borderId="5" xfId="0" applyNumberFormat="1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right" vertical="center" wrapText="1" indent="1"/>
    </xf>
    <xf numFmtId="164" fontId="7" fillId="4" borderId="6" xfId="0" applyNumberFormat="1" applyFont="1" applyFill="1" applyBorder="1" applyAlignment="1">
      <alignment horizontal="center" vertical="center" wrapText="1"/>
    </xf>
    <xf numFmtId="164" fontId="8" fillId="4" borderId="6" xfId="0" applyNumberFormat="1" applyFont="1" applyFill="1" applyBorder="1" applyAlignment="1">
      <alignment horizontal="center" vertical="center" wrapText="1"/>
    </xf>
    <xf numFmtId="165" fontId="0" fillId="3" borderId="0" xfId="0" applyNumberFormat="1" applyFill="1"/>
    <xf numFmtId="0" fontId="4" fillId="2" borderId="1" xfId="0" applyFont="1" applyFill="1" applyBorder="1" applyAlignment="1">
      <alignment horizontal="center" vertical="center" wrapText="1"/>
    </xf>
    <xf numFmtId="10" fontId="0" fillId="3" borderId="0" xfId="0" applyNumberFormat="1" applyFill="1"/>
    <xf numFmtId="164" fontId="0" fillId="3" borderId="0" xfId="0" applyNumberFormat="1" applyFill="1"/>
    <xf numFmtId="10" fontId="10" fillId="3" borderId="0" xfId="0" applyNumberFormat="1" applyFont="1" applyFill="1"/>
    <xf numFmtId="0" fontId="5" fillId="4" borderId="6" xfId="0" applyFont="1" applyFill="1" applyBorder="1" applyAlignment="1">
      <alignment horizontal="left" vertical="center" wrapText="1" indent="1"/>
    </xf>
    <xf numFmtId="164" fontId="5" fillId="4" borderId="6" xfId="0" applyNumberFormat="1" applyFont="1" applyFill="1" applyBorder="1" applyAlignment="1">
      <alignment horizontal="center" vertical="center" wrapText="1"/>
    </xf>
    <xf numFmtId="0" fontId="3" fillId="3" borderId="0" xfId="0" applyFont="1" applyFill="1"/>
    <xf numFmtId="0" fontId="2" fillId="8" borderId="0" xfId="0" applyFont="1" applyFill="1"/>
    <xf numFmtId="0" fontId="2" fillId="8" borderId="0" xfId="0" applyFont="1" applyFill="1" applyAlignment="1">
      <alignment horizontal="right"/>
    </xf>
    <xf numFmtId="166" fontId="2" fillId="8" borderId="0" xfId="0" applyNumberFormat="1" applyFont="1" applyFill="1" applyAlignment="1">
      <alignment horizontal="right"/>
    </xf>
    <xf numFmtId="17" fontId="11" fillId="9" borderId="0" xfId="0" applyNumberFormat="1" applyFont="1" applyFill="1"/>
    <xf numFmtId="10" fontId="0" fillId="9" borderId="0" xfId="0" applyNumberFormat="1" applyFill="1"/>
    <xf numFmtId="164" fontId="0" fillId="9" borderId="0" xfId="0" applyNumberFormat="1" applyFill="1"/>
    <xf numFmtId="167" fontId="0" fillId="9" borderId="0" xfId="0" applyNumberFormat="1" applyFill="1"/>
    <xf numFmtId="166" fontId="0" fillId="9" borderId="0" xfId="0" applyNumberFormat="1" applyFill="1"/>
    <xf numFmtId="0" fontId="0" fillId="9" borderId="0" xfId="0" applyFill="1"/>
    <xf numFmtId="0" fontId="11" fillId="9" borderId="0" xfId="0" applyFont="1" applyFill="1"/>
    <xf numFmtId="10" fontId="12" fillId="9" borderId="0" xfId="0" applyNumberFormat="1" applyFont="1" applyFill="1"/>
    <xf numFmtId="164" fontId="13" fillId="9" borderId="0" xfId="0" applyNumberFormat="1" applyFont="1" applyFill="1"/>
    <xf numFmtId="167" fontId="13" fillId="9" borderId="0" xfId="0" applyNumberFormat="1" applyFont="1" applyFill="1"/>
    <xf numFmtId="166" fontId="13" fillId="9" borderId="0" xfId="0" applyNumberFormat="1" applyFont="1" applyFill="1"/>
    <xf numFmtId="0" fontId="14" fillId="9" borderId="0" xfId="0" applyFont="1" applyFill="1"/>
    <xf numFmtId="164" fontId="14" fillId="9" borderId="0" xfId="0" applyNumberFormat="1" applyFont="1" applyFill="1"/>
    <xf numFmtId="167" fontId="14" fillId="9" borderId="0" xfId="0" applyNumberFormat="1" applyFont="1" applyFill="1"/>
    <xf numFmtId="166" fontId="14" fillId="9" borderId="0" xfId="0" applyNumberFormat="1" applyFont="1" applyFill="1"/>
    <xf numFmtId="10" fontId="2" fillId="8" borderId="0" xfId="0" applyNumberFormat="1" applyFont="1" applyFill="1"/>
    <xf numFmtId="10" fontId="2" fillId="8" borderId="0" xfId="0" applyNumberFormat="1" applyFont="1" applyFill="1" applyAlignment="1">
      <alignment horizontal="right"/>
    </xf>
    <xf numFmtId="17" fontId="11" fillId="10" borderId="0" xfId="0" applyNumberFormat="1" applyFont="1" applyFill="1"/>
    <xf numFmtId="0" fontId="0" fillId="10" borderId="0" xfId="0" applyFill="1"/>
    <xf numFmtId="164" fontId="0" fillId="10" borderId="0" xfId="0" applyNumberFormat="1" applyFill="1"/>
    <xf numFmtId="167" fontId="0" fillId="10" borderId="0" xfId="0" applyNumberFormat="1" applyFill="1"/>
    <xf numFmtId="166" fontId="0" fillId="10" borderId="0" xfId="0" applyNumberFormat="1" applyFill="1"/>
    <xf numFmtId="0" fontId="11" fillId="10" borderId="0" xfId="0" applyFont="1" applyFill="1"/>
    <xf numFmtId="0" fontId="15" fillId="10" borderId="0" xfId="0" applyFont="1" applyFill="1"/>
    <xf numFmtId="164" fontId="15" fillId="10" borderId="0" xfId="0" applyNumberFormat="1" applyFont="1" applyFill="1"/>
    <xf numFmtId="167" fontId="15" fillId="10" borderId="0" xfId="0" applyNumberFormat="1" applyFont="1" applyFill="1"/>
    <xf numFmtId="166" fontId="15" fillId="10" borderId="0" xfId="0" applyNumberFormat="1" applyFont="1" applyFill="1"/>
    <xf numFmtId="10" fontId="11" fillId="10" borderId="0" xfId="0" applyNumberFormat="1" applyFont="1" applyFill="1"/>
    <xf numFmtId="10" fontId="12" fillId="10" borderId="0" xfId="0" applyNumberFormat="1" applyFont="1" applyFill="1"/>
    <xf numFmtId="164" fontId="12" fillId="10" borderId="0" xfId="0" applyNumberFormat="1" applyFont="1" applyFill="1"/>
    <xf numFmtId="167" fontId="12" fillId="10" borderId="0" xfId="0" applyNumberFormat="1" applyFont="1" applyFill="1"/>
    <xf numFmtId="166" fontId="12" fillId="10" borderId="0" xfId="0" applyNumberFormat="1" applyFont="1" applyFill="1"/>
    <xf numFmtId="168" fontId="12" fillId="10" borderId="0" xfId="0" applyNumberFormat="1" applyFont="1" applyFill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167" fontId="0" fillId="3" borderId="11" xfId="0" applyNumberFormat="1" applyFill="1" applyBorder="1"/>
    <xf numFmtId="167" fontId="0" fillId="3" borderId="0" xfId="0" applyNumberFormat="1" applyFill="1"/>
    <xf numFmtId="166" fontId="0" fillId="3" borderId="0" xfId="0" applyNumberFormat="1" applyFill="1"/>
    <xf numFmtId="164" fontId="0" fillId="3" borderId="12" xfId="0" applyNumberFormat="1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10" fontId="17" fillId="8" borderId="0" xfId="0" applyNumberFormat="1" applyFont="1" applyFill="1" applyAlignment="1">
      <alignment horizontal="right"/>
    </xf>
    <xf numFmtId="9" fontId="2" fillId="8" borderId="0" xfId="1" applyFont="1" applyFill="1" applyAlignment="1">
      <alignment horizontal="right"/>
    </xf>
    <xf numFmtId="164" fontId="16" fillId="10" borderId="0" xfId="0" applyNumberFormat="1" applyFont="1" applyFill="1"/>
    <xf numFmtId="0" fontId="4" fillId="2" borderId="16" xfId="0" applyFont="1" applyFill="1" applyBorder="1" applyAlignment="1">
      <alignment horizontal="center" vertical="center" wrapText="1"/>
    </xf>
    <xf numFmtId="164" fontId="5" fillId="3" borderId="0" xfId="0" applyNumberFormat="1" applyFont="1" applyFill="1" applyAlignment="1">
      <alignment horizontal="center" vertical="center" wrapText="1"/>
    </xf>
    <xf numFmtId="164" fontId="5" fillId="3" borderId="0" xfId="0" applyNumberFormat="1" applyFont="1" applyFill="1" applyAlignment="1">
      <alignment horizontal="left" vertical="top" wrapText="1"/>
    </xf>
    <xf numFmtId="164" fontId="18" fillId="4" borderId="5" xfId="0" applyNumberFormat="1" applyFont="1" applyFill="1" applyBorder="1" applyAlignment="1">
      <alignment horizontal="center" vertical="center" wrapText="1"/>
    </xf>
    <xf numFmtId="164" fontId="7" fillId="3" borderId="0" xfId="0" applyNumberFormat="1" applyFont="1" applyFill="1" applyAlignment="1">
      <alignment horizontal="center" vertical="center" wrapText="1"/>
    </xf>
    <xf numFmtId="164" fontId="8" fillId="3" borderId="0" xfId="0" applyNumberFormat="1" applyFont="1" applyFill="1" applyAlignment="1">
      <alignment horizontal="center" vertical="center" wrapText="1"/>
    </xf>
    <xf numFmtId="0" fontId="19" fillId="3" borderId="0" xfId="0" applyFont="1" applyFill="1"/>
    <xf numFmtId="0" fontId="9" fillId="3" borderId="7" xfId="0" applyFont="1" applyFill="1" applyBorder="1" applyAlignment="1">
      <alignment horizontal="center" vertical="center" wrapText="1"/>
    </xf>
    <xf numFmtId="170" fontId="0" fillId="3" borderId="0" xfId="0" applyNumberFormat="1" applyFill="1"/>
    <xf numFmtId="14" fontId="0" fillId="3" borderId="0" xfId="0" applyNumberFormat="1" applyFill="1"/>
    <xf numFmtId="169" fontId="0" fillId="3" borderId="0" xfId="1" applyNumberFormat="1" applyFont="1" applyFill="1"/>
    <xf numFmtId="0" fontId="2" fillId="11" borderId="0" xfId="0" applyFont="1" applyFill="1"/>
    <xf numFmtId="0" fontId="2" fillId="11" borderId="0" xfId="0" applyFont="1" applyFill="1" applyAlignment="1">
      <alignment horizontal="left"/>
    </xf>
    <xf numFmtId="0" fontId="2" fillId="11" borderId="0" xfId="0" applyFont="1" applyFill="1" applyAlignment="1">
      <alignment horizontal="right"/>
    </xf>
    <xf numFmtId="171" fontId="2" fillId="11" borderId="0" xfId="0" applyNumberFormat="1" applyFont="1" applyFill="1" applyAlignment="1">
      <alignment horizontal="right"/>
    </xf>
    <xf numFmtId="172" fontId="0" fillId="9" borderId="0" xfId="1" applyNumberFormat="1" applyFont="1" applyFill="1"/>
    <xf numFmtId="167" fontId="0" fillId="9" borderId="0" xfId="0" applyNumberFormat="1" applyFill="1" applyAlignment="1">
      <alignment horizontal="right"/>
    </xf>
    <xf numFmtId="171" fontId="0" fillId="9" borderId="0" xfId="0" applyNumberFormat="1" applyFill="1" applyAlignment="1">
      <alignment horizontal="right"/>
    </xf>
    <xf numFmtId="172" fontId="0" fillId="9" borderId="0" xfId="0" applyNumberFormat="1" applyFill="1"/>
    <xf numFmtId="172" fontId="1" fillId="9" borderId="0" xfId="1" applyNumberFormat="1" applyFont="1" applyFill="1"/>
    <xf numFmtId="167" fontId="1" fillId="9" borderId="0" xfId="0" applyNumberFormat="1" applyFont="1" applyFill="1"/>
    <xf numFmtId="167" fontId="1" fillId="9" borderId="0" xfId="0" applyNumberFormat="1" applyFont="1" applyFill="1" applyAlignment="1">
      <alignment horizontal="right"/>
    </xf>
    <xf numFmtId="171" fontId="1" fillId="9" borderId="0" xfId="0" applyNumberFormat="1" applyFont="1" applyFill="1" applyAlignment="1">
      <alignment horizontal="right"/>
    </xf>
    <xf numFmtId="172" fontId="1" fillId="9" borderId="0" xfId="0" applyNumberFormat="1" applyFont="1" applyFill="1"/>
    <xf numFmtId="0" fontId="0" fillId="9" borderId="0" xfId="0" quotePrefix="1" applyFill="1"/>
    <xf numFmtId="171" fontId="15" fillId="9" borderId="0" xfId="0" applyNumberFormat="1" applyFont="1" applyFill="1"/>
    <xf numFmtId="172" fontId="15" fillId="9" borderId="0" xfId="1" applyNumberFormat="1" applyFont="1" applyFill="1"/>
    <xf numFmtId="167" fontId="15" fillId="9" borderId="0" xfId="0" applyNumberFormat="1" applyFont="1" applyFill="1" applyAlignment="1">
      <alignment horizontal="right"/>
    </xf>
    <xf numFmtId="171" fontId="15" fillId="9" borderId="0" xfId="0" applyNumberFormat="1" applyFont="1" applyFill="1" applyAlignment="1">
      <alignment horizontal="right"/>
    </xf>
    <xf numFmtId="172" fontId="15" fillId="9" borderId="0" xfId="0" applyNumberFormat="1" applyFont="1" applyFill="1"/>
    <xf numFmtId="0" fontId="13" fillId="9" borderId="0" xfId="0" applyFont="1" applyFill="1"/>
    <xf numFmtId="172" fontId="3" fillId="9" borderId="0" xfId="0" applyNumberFormat="1" applyFont="1" applyFill="1"/>
    <xf numFmtId="167" fontId="3" fillId="9" borderId="0" xfId="0" applyNumberFormat="1" applyFont="1" applyFill="1"/>
    <xf numFmtId="168" fontId="3" fillId="9" borderId="0" xfId="0" applyNumberFormat="1" applyFont="1" applyFill="1"/>
    <xf numFmtId="169" fontId="3" fillId="9" borderId="0" xfId="0" applyNumberFormat="1" applyFont="1" applyFill="1"/>
    <xf numFmtId="0" fontId="20" fillId="3" borderId="0" xfId="0" applyFont="1" applyFill="1"/>
    <xf numFmtId="172" fontId="20" fillId="3" borderId="0" xfId="0" applyNumberFormat="1" applyFont="1" applyFill="1"/>
    <xf numFmtId="0" fontId="0" fillId="3" borderId="0" xfId="0" applyFill="1" applyAlignment="1">
      <alignment horizontal="left"/>
    </xf>
    <xf numFmtId="169" fontId="0" fillId="0" borderId="0" xfId="0" applyNumberFormat="1"/>
    <xf numFmtId="172" fontId="0" fillId="3" borderId="0" xfId="0" applyNumberFormat="1" applyFill="1"/>
    <xf numFmtId="169" fontId="0" fillId="3" borderId="0" xfId="0" applyNumberFormat="1" applyFill="1"/>
    <xf numFmtId="172" fontId="15" fillId="3" borderId="0" xfId="1" applyNumberFormat="1" applyFont="1" applyFill="1"/>
    <xf numFmtId="172" fontId="3" fillId="3" borderId="0" xfId="0" applyNumberFormat="1" applyFont="1" applyFill="1"/>
    <xf numFmtId="0" fontId="15" fillId="9" borderId="0" xfId="0" applyFont="1" applyFill="1"/>
    <xf numFmtId="167" fontId="15" fillId="9" borderId="0" xfId="0" applyNumberFormat="1" applyFont="1" applyFill="1"/>
    <xf numFmtId="172" fontId="13" fillId="9" borderId="0" xfId="0" applyNumberFormat="1" applyFont="1" applyFill="1"/>
    <xf numFmtId="171" fontId="3" fillId="9" borderId="0" xfId="0" applyNumberFormat="1" applyFont="1" applyFill="1"/>
    <xf numFmtId="172" fontId="0" fillId="3" borderId="0" xfId="1" applyNumberFormat="1" applyFont="1" applyFill="1"/>
    <xf numFmtId="167" fontId="0" fillId="3" borderId="0" xfId="0" applyNumberFormat="1" applyFill="1" applyAlignment="1">
      <alignment horizontal="right"/>
    </xf>
    <xf numFmtId="171" fontId="0" fillId="3" borderId="0" xfId="0" applyNumberFormat="1" applyFill="1" applyAlignment="1">
      <alignment horizontal="right"/>
    </xf>
    <xf numFmtId="0" fontId="15" fillId="3" borderId="0" xfId="0" applyFont="1" applyFill="1"/>
    <xf numFmtId="167" fontId="15" fillId="3" borderId="0" xfId="0" applyNumberFormat="1" applyFont="1" applyFill="1"/>
    <xf numFmtId="167" fontId="15" fillId="3" borderId="0" xfId="0" applyNumberFormat="1" applyFont="1" applyFill="1" applyAlignment="1">
      <alignment horizontal="right"/>
    </xf>
    <xf numFmtId="171" fontId="15" fillId="3" borderId="0" xfId="0" applyNumberFormat="1" applyFont="1" applyFill="1" applyAlignment="1">
      <alignment horizontal="right"/>
    </xf>
    <xf numFmtId="172" fontId="15" fillId="3" borderId="0" xfId="0" applyNumberFormat="1" applyFont="1" applyFill="1"/>
    <xf numFmtId="0" fontId="13" fillId="3" borderId="0" xfId="0" applyFont="1" applyFill="1"/>
    <xf numFmtId="172" fontId="13" fillId="3" borderId="0" xfId="0" applyNumberFormat="1" applyFont="1" applyFill="1"/>
    <xf numFmtId="167" fontId="3" fillId="3" borderId="0" xfId="0" applyNumberFormat="1" applyFont="1" applyFill="1"/>
    <xf numFmtId="171" fontId="3" fillId="3" borderId="0" xfId="0" applyNumberFormat="1" applyFont="1" applyFill="1"/>
    <xf numFmtId="169" fontId="3" fillId="3" borderId="0" xfId="0" applyNumberFormat="1" applyFont="1" applyFill="1"/>
    <xf numFmtId="164" fontId="0" fillId="9" borderId="0" xfId="0" applyNumberFormat="1" applyFill="1" applyAlignment="1">
      <alignment horizontal="right"/>
    </xf>
    <xf numFmtId="164" fontId="12" fillId="9" borderId="0" xfId="0" applyNumberFormat="1" applyFont="1" applyFill="1"/>
    <xf numFmtId="0" fontId="5" fillId="4" borderId="0" xfId="0" applyFont="1" applyFill="1" applyAlignment="1">
      <alignment horizontal="left" vertical="center" wrapText="1" indent="1"/>
    </xf>
    <xf numFmtId="164" fontId="5" fillId="4" borderId="0" xfId="0" applyNumberFormat="1" applyFont="1" applyFill="1" applyAlignment="1">
      <alignment horizontal="center" vertical="center" wrapText="1"/>
    </xf>
    <xf numFmtId="9" fontId="0" fillId="3" borderId="0" xfId="0" applyNumberFormat="1" applyFill="1"/>
    <xf numFmtId="9" fontId="0" fillId="3" borderId="0" xfId="1" applyFont="1" applyFill="1"/>
    <xf numFmtId="0" fontId="2" fillId="8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11" borderId="0" xfId="0" applyFont="1" applyFill="1" applyAlignment="1">
      <alignment horizontal="center"/>
    </xf>
    <xf numFmtId="0" fontId="0" fillId="11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9A958E"/>
      <color rgb="FF6F8890"/>
      <color rgb="FF3143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Vintage funds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sv-S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Transactions!$W$9</c:f>
              <c:strCache>
                <c:ptCount val="1"/>
                <c:pt idx="0">
                  <c:v>2015-2026</c:v>
                </c:pt>
              </c:strCache>
            </c:strRef>
          </c:tx>
          <c:spPr>
            <a:solidFill>
              <a:srgbClr val="314359"/>
            </a:solidFill>
            <a:ln>
              <a:noFill/>
            </a:ln>
            <a:effectLst/>
          </c:spPr>
          <c:invertIfNegative val="0"/>
          <c:cat>
            <c:strRef>
              <c:f>Transactions!$X$8:$Z$8</c:f>
              <c:strCache>
                <c:ptCount val="3"/>
                <c:pt idx="0">
                  <c:v># deals</c:v>
                </c:pt>
                <c:pt idx="1">
                  <c:v>IRR</c:v>
                </c:pt>
                <c:pt idx="2">
                  <c:v>MoIC</c:v>
                </c:pt>
              </c:strCache>
            </c:strRef>
          </c:cat>
          <c:val>
            <c:numRef>
              <c:f>Transactions!$X$9:$Z$9</c:f>
              <c:numCache>
                <c:formatCode>0%</c:formatCode>
                <c:ptCount val="3"/>
                <c:pt idx="0">
                  <c:v>0.35416666666666669</c:v>
                </c:pt>
                <c:pt idx="1">
                  <c:v>0.6</c:v>
                </c:pt>
                <c:pt idx="2">
                  <c:v>0.31884057971014496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74-4A0D-9B8D-E14106C7CB45}"/>
            </c:ext>
          </c:extLst>
        </c:ser>
        <c:ser>
          <c:idx val="1"/>
          <c:order val="1"/>
          <c:tx>
            <c:strRef>
              <c:f>Transactions!$W$10</c:f>
              <c:strCache>
                <c:ptCount val="1"/>
                <c:pt idx="0">
                  <c:v>2006-2014</c:v>
                </c:pt>
              </c:strCache>
            </c:strRef>
          </c:tx>
          <c:spPr>
            <a:solidFill>
              <a:srgbClr val="6F8890"/>
            </a:solidFill>
            <a:ln>
              <a:noFill/>
            </a:ln>
            <a:effectLst/>
          </c:spPr>
          <c:invertIfNegative val="0"/>
          <c:cat>
            <c:strRef>
              <c:f>Transactions!$X$8:$Z$8</c:f>
              <c:strCache>
                <c:ptCount val="3"/>
                <c:pt idx="0">
                  <c:v># deals</c:v>
                </c:pt>
                <c:pt idx="1">
                  <c:v>IRR</c:v>
                </c:pt>
                <c:pt idx="2">
                  <c:v>MoIC</c:v>
                </c:pt>
              </c:strCache>
            </c:strRef>
          </c:cat>
          <c:val>
            <c:numRef>
              <c:f>Transactions!$X$10:$Z$10</c:f>
              <c:numCache>
                <c:formatCode>0%</c:formatCode>
                <c:ptCount val="3"/>
                <c:pt idx="0">
                  <c:v>0.45833333333333331</c:v>
                </c:pt>
                <c:pt idx="1">
                  <c:v>0.25</c:v>
                </c:pt>
                <c:pt idx="2">
                  <c:v>0.39130434782608697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74-4A0D-9B8D-E14106C7CB45}"/>
            </c:ext>
          </c:extLst>
        </c:ser>
        <c:ser>
          <c:idx val="2"/>
          <c:order val="2"/>
          <c:tx>
            <c:strRef>
              <c:f>Transactions!$W$11</c:f>
              <c:strCache>
                <c:ptCount val="1"/>
                <c:pt idx="0">
                  <c:v>1996-2005</c:v>
                </c:pt>
              </c:strCache>
            </c:strRef>
          </c:tx>
          <c:spPr>
            <a:solidFill>
              <a:srgbClr val="9A958E"/>
            </a:solidFill>
            <a:ln>
              <a:noFill/>
            </a:ln>
            <a:effectLst/>
          </c:spPr>
          <c:invertIfNegative val="0"/>
          <c:cat>
            <c:strRef>
              <c:f>Transactions!$X$8:$Z$8</c:f>
              <c:strCache>
                <c:ptCount val="3"/>
                <c:pt idx="0">
                  <c:v># deals</c:v>
                </c:pt>
                <c:pt idx="1">
                  <c:v>IRR</c:v>
                </c:pt>
                <c:pt idx="2">
                  <c:v>MoIC</c:v>
                </c:pt>
              </c:strCache>
            </c:strRef>
          </c:cat>
          <c:val>
            <c:numRef>
              <c:f>Transactions!$X$11:$Z$11</c:f>
              <c:numCache>
                <c:formatCode>0%</c:formatCode>
                <c:ptCount val="3"/>
                <c:pt idx="0">
                  <c:v>0.1875</c:v>
                </c:pt>
                <c:pt idx="1">
                  <c:v>0.15</c:v>
                </c:pt>
                <c:pt idx="2">
                  <c:v>0.28985507246376813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74-4A0D-9B8D-E14106C7C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7513792"/>
        <c:axId val="627514272"/>
      </c:barChart>
      <c:catAx>
        <c:axId val="627513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sv-SE"/>
          </a:p>
        </c:txPr>
        <c:crossAx val="627514272"/>
        <c:crosses val="autoZero"/>
        <c:auto val="1"/>
        <c:lblAlgn val="ctr"/>
        <c:lblOffset val="100"/>
        <c:noMultiLvlLbl val="0"/>
      </c:catAx>
      <c:valAx>
        <c:axId val="62751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sv-SE"/>
          </a:p>
        </c:txPr>
        <c:crossAx val="62751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447675</xdr:colOff>
      <xdr:row>19</xdr:row>
      <xdr:rowOff>147637</xdr:rowOff>
    </xdr:from>
    <xdr:to>
      <xdr:col>28</xdr:col>
      <xdr:colOff>304800</xdr:colOff>
      <xdr:row>34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C2F50D-4A1A-2EBB-2ED4-630D94CDEA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9</xdr:row>
      <xdr:rowOff>0</xdr:rowOff>
    </xdr:from>
    <xdr:to>
      <xdr:col>24</xdr:col>
      <xdr:colOff>219686</xdr:colOff>
      <xdr:row>20</xdr:row>
      <xdr:rowOff>13899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8436E7C-41D4-6330-B8F1-A84D6A0CB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96750" y="1714500"/>
          <a:ext cx="2658086" cy="21093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thanase.sharepoint.com/sites/Stefan/Delade%20dokument/General/Track%20Record/Transactions%202006-2025.xlsx" TargetMode="External"/><Relationship Id="rId1" Type="http://schemas.openxmlformats.org/officeDocument/2006/relationships/externalLinkPath" Target="Transactions%2020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  <sheetName val="Sheet7"/>
      <sheetName val="Sheet4"/>
      <sheetName val="Sheet8"/>
    </sheetNames>
    <sheetDataSet>
      <sheetData sheetId="0"/>
      <sheetData sheetId="1">
        <row r="74">
          <cell r="E74">
            <v>0.13329527695539412</v>
          </cell>
          <cell r="F74">
            <v>0.18407068182757103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20056-EA19-4346-B930-0C48C97221A8}">
  <dimension ref="D3:Y77"/>
  <sheetViews>
    <sheetView tabSelected="1" workbookViewId="0">
      <selection activeCell="D4" sqref="D4:R31"/>
    </sheetView>
  </sheetViews>
  <sheetFormatPr defaultColWidth="8.7109375" defaultRowHeight="15" x14ac:dyDescent="0.25"/>
  <cols>
    <col min="1" max="18" width="8.7109375" style="4"/>
    <col min="19" max="19" width="20" style="4" bestFit="1" customWidth="1"/>
    <col min="20" max="20" width="58" style="4" bestFit="1" customWidth="1"/>
    <col min="21" max="21" width="10.85546875" style="4" bestFit="1" customWidth="1"/>
    <col min="22" max="22" width="10" style="4" bestFit="1" customWidth="1"/>
    <col min="23" max="16384" width="8.7109375" style="4"/>
  </cols>
  <sheetData>
    <row r="3" spans="4:24" x14ac:dyDescent="0.25"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80"/>
      <c r="R3" s="80"/>
      <c r="S3" s="16"/>
    </row>
    <row r="4" spans="4:24" x14ac:dyDescent="0.25">
      <c r="D4" s="23" t="s">
        <v>117</v>
      </c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</row>
    <row r="5" spans="4:24" x14ac:dyDescent="0.25">
      <c r="D5" s="1"/>
      <c r="E5" s="2" t="s">
        <v>1</v>
      </c>
      <c r="F5" s="2" t="s">
        <v>2</v>
      </c>
      <c r="G5" s="2" t="s">
        <v>3</v>
      </c>
      <c r="H5" s="2" t="s">
        <v>4</v>
      </c>
      <c r="I5" s="2" t="s">
        <v>5</v>
      </c>
      <c r="J5" s="2" t="s">
        <v>6</v>
      </c>
      <c r="K5" s="2" t="s">
        <v>7</v>
      </c>
      <c r="L5" s="2" t="s">
        <v>8</v>
      </c>
      <c r="M5" s="2" t="s">
        <v>9</v>
      </c>
      <c r="N5" s="2" t="s">
        <v>10</v>
      </c>
      <c r="O5" s="2" t="s">
        <v>11</v>
      </c>
      <c r="P5" s="2" t="s">
        <v>12</v>
      </c>
      <c r="Q5" s="3" t="s">
        <v>13</v>
      </c>
      <c r="R5" s="17" t="s">
        <v>14</v>
      </c>
      <c r="U5" s="140"/>
      <c r="V5" s="84"/>
      <c r="X5" s="84"/>
    </row>
    <row r="6" spans="4:24" x14ac:dyDescent="0.25">
      <c r="D6" s="5">
        <v>2015</v>
      </c>
      <c r="E6" s="6">
        <v>0</v>
      </c>
      <c r="F6" s="6">
        <v>3.0000000000000001E-3</v>
      </c>
      <c r="G6" s="6">
        <v>2.2000000000000002E-2</v>
      </c>
      <c r="H6" s="6">
        <v>1.4999999999999999E-2</v>
      </c>
      <c r="I6" s="6">
        <v>2.3E-2</v>
      </c>
      <c r="J6" s="6">
        <v>-2.7999999999999997E-2</v>
      </c>
      <c r="K6" s="6">
        <v>1.7000000000000001E-2</v>
      </c>
      <c r="L6" s="6">
        <v>-3.1E-2</v>
      </c>
      <c r="M6" s="6">
        <v>-6.0000000000000001E-3</v>
      </c>
      <c r="N6" s="6">
        <v>8.0000000000000002E-3</v>
      </c>
      <c r="O6" s="6">
        <v>0.05</v>
      </c>
      <c r="P6" s="6">
        <v>0.02</v>
      </c>
      <c r="Q6" s="7">
        <v>9.3000000000000013E-2</v>
      </c>
      <c r="R6" s="7">
        <v>-2.5000000000000001E-2</v>
      </c>
      <c r="S6" s="18"/>
      <c r="T6" s="19"/>
      <c r="U6" s="140"/>
      <c r="V6" s="84"/>
      <c r="X6" s="84"/>
    </row>
    <row r="7" spans="4:24" x14ac:dyDescent="0.25">
      <c r="D7" s="8">
        <v>2016</v>
      </c>
      <c r="E7" s="9">
        <v>-4.8000000000000001E-2</v>
      </c>
      <c r="F7" s="9">
        <v>1.3000000000000001E-2</v>
      </c>
      <c r="G7" s="9">
        <v>2E-3</v>
      </c>
      <c r="H7" s="9">
        <v>4.4000000000000004E-2</v>
      </c>
      <c r="I7" s="9">
        <v>2.7000000000000003E-2</v>
      </c>
      <c r="J7" s="9">
        <v>-2.5000000000000001E-2</v>
      </c>
      <c r="K7" s="9">
        <v>3.2000000000000001E-2</v>
      </c>
      <c r="L7" s="9">
        <v>7.4999999999999997E-2</v>
      </c>
      <c r="M7" s="9">
        <v>3.1E-2</v>
      </c>
      <c r="N7" s="9">
        <v>1.1000000000000001E-2</v>
      </c>
      <c r="O7" s="9">
        <v>4.2000000000000003E-2</v>
      </c>
      <c r="P7" s="9">
        <v>4.0999999999999995E-2</v>
      </c>
      <c r="Q7" s="12">
        <v>0.26600000000000001</v>
      </c>
      <c r="R7" s="12">
        <v>6.2E-2</v>
      </c>
      <c r="S7" s="18"/>
      <c r="T7" s="19"/>
      <c r="U7" s="140"/>
    </row>
    <row r="8" spans="4:24" x14ac:dyDescent="0.25">
      <c r="D8" s="8">
        <v>2017</v>
      </c>
      <c r="E8" s="9">
        <v>5.4000000000000006E-2</v>
      </c>
      <c r="F8" s="9">
        <v>4.4999999999999998E-2</v>
      </c>
      <c r="G8" s="9">
        <v>5.0000000000000001E-3</v>
      </c>
      <c r="H8" s="9">
        <v>8.5000000000000006E-2</v>
      </c>
      <c r="I8" s="9">
        <v>-3.1E-2</v>
      </c>
      <c r="J8" s="9">
        <v>-0.01</v>
      </c>
      <c r="K8" s="9">
        <v>-9.0000000000000011E-3</v>
      </c>
      <c r="L8" s="9">
        <v>-3.9E-2</v>
      </c>
      <c r="M8" s="9">
        <v>2.2000000000000002E-2</v>
      </c>
      <c r="N8" s="9">
        <v>-3.7000000000000005E-2</v>
      </c>
      <c r="O8" s="9">
        <v>-6.0000000000000001E-3</v>
      </c>
      <c r="P8" s="9">
        <v>-2.7000000000000003E-2</v>
      </c>
      <c r="Q8" s="10">
        <v>4.4000000000000004E-2</v>
      </c>
      <c r="R8" s="10">
        <v>0.217</v>
      </c>
      <c r="S8" s="18"/>
      <c r="T8" s="19"/>
      <c r="U8" s="140"/>
    </row>
    <row r="9" spans="4:24" x14ac:dyDescent="0.25">
      <c r="D9" s="8">
        <v>2018</v>
      </c>
      <c r="E9" s="9">
        <v>4.4999999999999998E-2</v>
      </c>
      <c r="F9" s="9">
        <v>-1E-3</v>
      </c>
      <c r="G9" s="9">
        <v>-1.6E-2</v>
      </c>
      <c r="H9" s="9">
        <v>0.01</v>
      </c>
      <c r="I9" s="9">
        <v>3.7000000000000005E-2</v>
      </c>
      <c r="J9" s="9">
        <v>-5.0000000000000001E-3</v>
      </c>
      <c r="K9" s="9">
        <v>4.0000000000000001E-3</v>
      </c>
      <c r="L9" s="9">
        <v>-8.0000000000000002E-3</v>
      </c>
      <c r="M9" s="9">
        <v>-1.9E-2</v>
      </c>
      <c r="N9" s="9">
        <v>-3.7999999999999999E-2</v>
      </c>
      <c r="O9" s="9">
        <v>-0.06</v>
      </c>
      <c r="P9" s="9">
        <v>-7.6999999999999999E-2</v>
      </c>
      <c r="Q9" s="11">
        <v>-0.128</v>
      </c>
      <c r="R9" s="11">
        <v>-0.111</v>
      </c>
      <c r="S9" s="18"/>
      <c r="T9" s="19"/>
      <c r="U9" s="140"/>
    </row>
    <row r="10" spans="4:24" x14ac:dyDescent="0.25">
      <c r="D10" s="8">
        <v>2019</v>
      </c>
      <c r="E10" s="9">
        <v>5.7999999999999996E-2</v>
      </c>
      <c r="F10" s="9">
        <v>1.3999999999999999E-2</v>
      </c>
      <c r="G10" s="9">
        <v>-3.9E-2</v>
      </c>
      <c r="H10" s="9">
        <v>4.9000000000000002E-2</v>
      </c>
      <c r="I10" s="9">
        <v>-7.4999999999999997E-2</v>
      </c>
      <c r="J10" s="9">
        <v>2E-3</v>
      </c>
      <c r="K10" s="9">
        <v>-5.2999999999999999E-2</v>
      </c>
      <c r="L10" s="9">
        <v>-9.6999999999999989E-2</v>
      </c>
      <c r="M10" s="9">
        <v>1.7000000000000001E-2</v>
      </c>
      <c r="N10" s="9">
        <v>-1E-3</v>
      </c>
      <c r="O10" s="9">
        <v>4.8000000000000001E-2</v>
      </c>
      <c r="P10" s="9">
        <v>3.2000000000000001E-2</v>
      </c>
      <c r="Q10" s="10">
        <v>-5.9000000000000004E-2</v>
      </c>
      <c r="R10" s="10">
        <v>0.23899999999999999</v>
      </c>
      <c r="S10" s="18"/>
      <c r="T10" s="19"/>
      <c r="U10" s="140"/>
    </row>
    <row r="11" spans="4:24" x14ac:dyDescent="0.25">
      <c r="D11" s="8">
        <v>2020</v>
      </c>
      <c r="E11" s="9">
        <v>6.0000000000000001E-3</v>
      </c>
      <c r="F11" s="9">
        <v>-8.4000000000000005E-2</v>
      </c>
      <c r="G11" s="9">
        <v>-0.185</v>
      </c>
      <c r="H11" s="9">
        <v>0.11900000000000001</v>
      </c>
      <c r="I11" s="9">
        <v>-2E-3</v>
      </c>
      <c r="J11" s="9">
        <v>0.03</v>
      </c>
      <c r="K11" s="9">
        <v>0.03</v>
      </c>
      <c r="L11" s="9">
        <v>0.1</v>
      </c>
      <c r="M11" s="9">
        <v>2.6000000000000002E-2</v>
      </c>
      <c r="N11" s="9">
        <v>-5.9000000000000004E-2</v>
      </c>
      <c r="O11" s="9">
        <v>0.126</v>
      </c>
      <c r="P11" s="9">
        <v>9.6999999999999989E-2</v>
      </c>
      <c r="Q11" s="11">
        <v>0.16899999999999998</v>
      </c>
      <c r="R11" s="11">
        <v>0.14400000000000002</v>
      </c>
      <c r="S11" s="12">
        <v>0.70199999999999996</v>
      </c>
      <c r="T11" s="19"/>
      <c r="U11" s="140"/>
    </row>
    <row r="12" spans="4:24" x14ac:dyDescent="0.25">
      <c r="D12" s="8">
        <v>2021</v>
      </c>
      <c r="E12" s="9">
        <v>4.8000000000000001E-2</v>
      </c>
      <c r="F12" s="9">
        <v>0.875</v>
      </c>
      <c r="G12" s="9">
        <v>2.7999999999999997E-2</v>
      </c>
      <c r="H12" s="9">
        <v>1.8000000000000002E-2</v>
      </c>
      <c r="I12" s="9">
        <v>-4.0000000000000001E-3</v>
      </c>
      <c r="J12" s="9">
        <v>4.0000000000000001E-3</v>
      </c>
      <c r="K12" s="9">
        <v>-4.0000000000000001E-3</v>
      </c>
      <c r="L12" s="9">
        <v>0.01</v>
      </c>
      <c r="M12" s="9">
        <v>0.26200000000000001</v>
      </c>
      <c r="N12" s="9">
        <v>0.107</v>
      </c>
      <c r="O12" s="9">
        <v>2.4E-2</v>
      </c>
      <c r="P12" s="9">
        <v>1.4999999999999999E-2</v>
      </c>
      <c r="Q12" s="12">
        <v>2.0049999999999999</v>
      </c>
      <c r="R12" s="12">
        <v>0.16500000000000001</v>
      </c>
      <c r="S12" s="12">
        <v>1.0640000000000001</v>
      </c>
      <c r="T12" s="19"/>
      <c r="U12" s="140"/>
    </row>
    <row r="13" spans="4:24" x14ac:dyDescent="0.25">
      <c r="D13" s="8">
        <v>2022</v>
      </c>
      <c r="E13" s="9">
        <v>-1.2E-2</v>
      </c>
      <c r="F13" s="9">
        <v>-1.7000000000000001E-2</v>
      </c>
      <c r="G13" s="9">
        <v>5.0000000000000001E-3</v>
      </c>
      <c r="H13" s="9">
        <v>-2.8999999999999998E-2</v>
      </c>
      <c r="I13" s="9">
        <v>-6.9999999999999993E-3</v>
      </c>
      <c r="J13" s="9">
        <v>-3.9E-2</v>
      </c>
      <c r="K13" s="9">
        <v>4.0000000000000001E-3</v>
      </c>
      <c r="L13" s="9">
        <v>-3.6000000000000004E-2</v>
      </c>
      <c r="M13" s="9">
        <v>-5.2999999999999999E-2</v>
      </c>
      <c r="N13" s="9">
        <v>6.3E-2</v>
      </c>
      <c r="O13" s="9">
        <v>0.14400000000000002</v>
      </c>
      <c r="P13" s="9">
        <v>-6.0000000000000001E-3</v>
      </c>
      <c r="Q13" s="12">
        <v>3.0000000000000001E-3</v>
      </c>
      <c r="R13" s="12">
        <v>-0.19800000000000001</v>
      </c>
      <c r="S13"/>
      <c r="T13" s="19"/>
      <c r="U13" s="140"/>
    </row>
    <row r="14" spans="4:24" x14ac:dyDescent="0.25">
      <c r="D14" s="8">
        <v>2023</v>
      </c>
      <c r="E14" s="9">
        <v>1.0000000000000001E-5</v>
      </c>
      <c r="F14" s="9">
        <v>-6.5000000000000002E-2</v>
      </c>
      <c r="G14" s="9">
        <v>-7.0000000000000007E-2</v>
      </c>
      <c r="H14" s="9">
        <v>4.9000000000000002E-2</v>
      </c>
      <c r="I14" s="9">
        <v>-2E-3</v>
      </c>
      <c r="J14" s="9">
        <v>6.4000000000000001E-2</v>
      </c>
      <c r="K14" s="9">
        <v>5.2000000000000005E-2</v>
      </c>
      <c r="L14" s="9">
        <v>-2.1000000000000001E-2</v>
      </c>
      <c r="M14" s="9">
        <v>-1.7000000000000001E-2</v>
      </c>
      <c r="N14" s="9">
        <v>-3.3000000000000002E-2</v>
      </c>
      <c r="O14" s="9">
        <v>1.2E-2</v>
      </c>
      <c r="P14" s="9">
        <v>3.6000000000000004E-2</v>
      </c>
      <c r="Q14" s="10">
        <v>-5.0000000000000001E-3</v>
      </c>
      <c r="R14" s="10">
        <v>0.19500000000000001</v>
      </c>
      <c r="S14" s="18"/>
      <c r="T14" s="19"/>
      <c r="U14" s="140"/>
    </row>
    <row r="15" spans="4:24" x14ac:dyDescent="0.25">
      <c r="D15" s="8">
        <v>2024</v>
      </c>
      <c r="E15" s="9">
        <v>2.5000000000000001E-2</v>
      </c>
      <c r="F15" s="9">
        <v>2.7000000000000003E-2</v>
      </c>
      <c r="G15" s="9">
        <v>5.0999999999999997E-2</v>
      </c>
      <c r="H15" s="9">
        <v>1.2E-2</v>
      </c>
      <c r="I15" s="9">
        <v>1.6E-2</v>
      </c>
      <c r="J15" s="9">
        <v>-8.0000000000000002E-3</v>
      </c>
      <c r="K15" s="9">
        <v>0.06</v>
      </c>
      <c r="L15" s="9">
        <v>-1.3999999999999999E-2</v>
      </c>
      <c r="M15" s="9">
        <v>2E-3</v>
      </c>
      <c r="N15" s="9">
        <v>-1E-3</v>
      </c>
      <c r="O15" s="9">
        <v>5.2999999999999999E-2</v>
      </c>
      <c r="P15" s="9">
        <v>5.0000000000000001E-3</v>
      </c>
      <c r="Q15" s="11">
        <v>0.25</v>
      </c>
      <c r="R15" s="11">
        <v>0.28800000000000003</v>
      </c>
      <c r="T15" s="19"/>
      <c r="U15" s="140"/>
    </row>
    <row r="16" spans="4:24" x14ac:dyDescent="0.25">
      <c r="D16" s="8">
        <v>2025</v>
      </c>
      <c r="E16" s="9">
        <v>3.5000000000000003E-2</v>
      </c>
      <c r="F16" s="9">
        <v>-1E-3</v>
      </c>
      <c r="G16" s="9">
        <v>-1.8000000000000002E-2</v>
      </c>
      <c r="H16" s="9">
        <v>-1.3999999999999999E-2</v>
      </c>
      <c r="I16" s="9">
        <v>7.0000000000000007E-2</v>
      </c>
      <c r="J16" s="9">
        <v>1.8000000000000002E-2</v>
      </c>
      <c r="K16" s="9">
        <v>2.5000000000000001E-2</v>
      </c>
      <c r="L16" s="9">
        <v>-1.4999999999999999E-2</v>
      </c>
      <c r="M16" s="9">
        <v>-5.0000000000000001E-3</v>
      </c>
      <c r="N16" s="9">
        <v>-0.03</v>
      </c>
      <c r="O16" s="9">
        <v>-8.0000000000000002E-3</v>
      </c>
      <c r="P16" s="9">
        <v>-1.3999999999999999E-2</v>
      </c>
      <c r="Q16" s="12">
        <v>4.0999999999999995E-2</v>
      </c>
      <c r="R16" s="12">
        <v>0.01</v>
      </c>
      <c r="T16" s="19"/>
      <c r="U16" s="140"/>
    </row>
    <row r="17" spans="4:25" x14ac:dyDescent="0.25">
      <c r="D17" s="21">
        <v>2026</v>
      </c>
      <c r="E17" s="22">
        <v>-2.1700000000000001E-2</v>
      </c>
      <c r="F17" s="22">
        <v>-4.2000000000000002E-4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15">
        <v>-2.58E-2</v>
      </c>
      <c r="R17" s="15">
        <v>4.7000000000000002E-3</v>
      </c>
      <c r="S17" s="18"/>
      <c r="T17" s="19"/>
      <c r="U17" s="140"/>
    </row>
    <row r="18" spans="4:25" x14ac:dyDescent="0.25">
      <c r="D18" s="137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5">
        <v>0.16800000000000001</v>
      </c>
      <c r="R18" s="15">
        <v>7.9000000000000001E-2</v>
      </c>
      <c r="S18" s="18"/>
      <c r="T18" s="19"/>
      <c r="U18" s="140"/>
    </row>
    <row r="19" spans="4:25" x14ac:dyDescent="0.25">
      <c r="T19" s="19"/>
      <c r="U19" s="140"/>
      <c r="X19" s="16"/>
    </row>
    <row r="20" spans="4:25" x14ac:dyDescent="0.25">
      <c r="D20" s="23" t="s">
        <v>118</v>
      </c>
      <c r="T20" s="19"/>
      <c r="U20" s="140"/>
    </row>
    <row r="21" spans="4:25" x14ac:dyDescent="0.25">
      <c r="D21" s="1" t="s">
        <v>0</v>
      </c>
      <c r="E21" s="2" t="s">
        <v>1</v>
      </c>
      <c r="F21" s="2" t="s">
        <v>2</v>
      </c>
      <c r="G21" s="2" t="s">
        <v>3</v>
      </c>
      <c r="H21" s="2" t="s">
        <v>4</v>
      </c>
      <c r="I21" s="2" t="s">
        <v>5</v>
      </c>
      <c r="J21" s="2" t="s">
        <v>6</v>
      </c>
      <c r="K21" s="2" t="s">
        <v>7</v>
      </c>
      <c r="L21" s="2" t="s">
        <v>8</v>
      </c>
      <c r="M21" s="2" t="s">
        <v>9</v>
      </c>
      <c r="N21" s="2" t="s">
        <v>10</v>
      </c>
      <c r="O21" s="2" t="s">
        <v>11</v>
      </c>
      <c r="P21" s="2" t="s">
        <v>12</v>
      </c>
      <c r="Q21" s="2" t="s">
        <v>13</v>
      </c>
      <c r="R21" s="3" t="s">
        <v>14</v>
      </c>
      <c r="T21" s="19"/>
      <c r="U21" s="19"/>
      <c r="X21" s="16"/>
    </row>
    <row r="22" spans="4:25" x14ac:dyDescent="0.25">
      <c r="D22" s="5">
        <v>2006</v>
      </c>
      <c r="E22" s="6">
        <v>5.7999999999999996E-2</v>
      </c>
      <c r="F22" s="6">
        <v>4.4999999999999998E-2</v>
      </c>
      <c r="G22" s="6">
        <v>9.0000000000000011E-3</v>
      </c>
      <c r="H22" s="6">
        <v>0.06</v>
      </c>
      <c r="I22" s="6">
        <v>2.2000000000000002E-2</v>
      </c>
      <c r="J22" s="6">
        <v>-5.5999999999999994E-2</v>
      </c>
      <c r="K22" s="6">
        <v>2.3E-2</v>
      </c>
      <c r="L22" s="6">
        <v>5.4000000000000006E-2</v>
      </c>
      <c r="M22" s="6">
        <v>9.3000000000000013E-2</v>
      </c>
      <c r="N22" s="6">
        <v>8.5000000000000006E-2</v>
      </c>
      <c r="O22" s="6">
        <v>0.111</v>
      </c>
      <c r="P22" s="6">
        <v>3.0000000000000001E-3</v>
      </c>
      <c r="Q22" s="7">
        <v>0.625</v>
      </c>
      <c r="R22" s="7">
        <v>0.18899999999999997</v>
      </c>
      <c r="T22" s="19"/>
      <c r="U22" s="19"/>
      <c r="X22" s="16"/>
    </row>
    <row r="23" spans="4:25" x14ac:dyDescent="0.25">
      <c r="D23" s="8">
        <v>2007</v>
      </c>
      <c r="E23" s="9">
        <v>3.3000000000000002E-2</v>
      </c>
      <c r="F23" s="9">
        <v>3.0000000000000001E-3</v>
      </c>
      <c r="G23" s="9">
        <v>4.2000000000000003E-2</v>
      </c>
      <c r="H23" s="9">
        <v>0.04</v>
      </c>
      <c r="I23" s="9">
        <v>1.7000000000000001E-2</v>
      </c>
      <c r="J23" s="9">
        <v>-3.9E-2</v>
      </c>
      <c r="K23" s="9">
        <v>-0.02</v>
      </c>
      <c r="L23" s="9">
        <v>-2.4E-2</v>
      </c>
      <c r="M23" s="9">
        <v>-4.9000000000000002E-2</v>
      </c>
      <c r="N23" s="9">
        <v>-2.4E-2</v>
      </c>
      <c r="O23" s="9">
        <v>-4.7E-2</v>
      </c>
      <c r="P23" s="9">
        <v>-0.01</v>
      </c>
      <c r="Q23" s="10">
        <v>-8.1000000000000003E-2</v>
      </c>
      <c r="R23" s="10">
        <v>9.1999999999999998E-2</v>
      </c>
      <c r="T23" s="19"/>
      <c r="U23" s="19"/>
      <c r="X23" s="16"/>
    </row>
    <row r="24" spans="4:25" x14ac:dyDescent="0.25">
      <c r="D24" s="8">
        <v>2008</v>
      </c>
      <c r="E24" s="9">
        <v>-0.109</v>
      </c>
      <c r="F24" s="9">
        <v>7.2000000000000008E-2</v>
      </c>
      <c r="G24" s="9">
        <v>-3.0000000000000001E-3</v>
      </c>
      <c r="H24" s="9">
        <v>-4.7E-2</v>
      </c>
      <c r="I24" s="9">
        <v>2.1000000000000001E-2</v>
      </c>
      <c r="J24" s="9">
        <v>-0.17899999999999999</v>
      </c>
      <c r="K24" s="9">
        <v>8.0000000000000002E-3</v>
      </c>
      <c r="L24" s="9">
        <v>3.7999999999999999E-2</v>
      </c>
      <c r="M24" s="9">
        <v>-0.13900000000000001</v>
      </c>
      <c r="N24" s="9">
        <v>-0.127</v>
      </c>
      <c r="O24" s="9">
        <v>-4.0000000000000001E-3</v>
      </c>
      <c r="P24" s="9">
        <v>-1.4999999999999999E-2</v>
      </c>
      <c r="Q24" s="11">
        <v>-0.41399999999999998</v>
      </c>
      <c r="R24" s="11">
        <v>-0.436</v>
      </c>
      <c r="T24" s="19"/>
      <c r="U24" s="19"/>
      <c r="W24" s="19"/>
      <c r="X24" s="16"/>
    </row>
    <row r="25" spans="4:25" x14ac:dyDescent="0.25">
      <c r="D25" s="8">
        <v>2009</v>
      </c>
      <c r="E25" s="9">
        <v>5.0000000000000001E-3</v>
      </c>
      <c r="F25" s="9">
        <v>2.2000000000000002E-2</v>
      </c>
      <c r="G25" s="9">
        <v>3.1E-2</v>
      </c>
      <c r="H25" s="9">
        <v>0.217</v>
      </c>
      <c r="I25" s="9">
        <v>6.4000000000000001E-2</v>
      </c>
      <c r="J25" s="9">
        <v>-1.2E-2</v>
      </c>
      <c r="K25" s="9">
        <v>8.3000000000000004E-2</v>
      </c>
      <c r="L25" s="9">
        <v>8.6999999999999994E-2</v>
      </c>
      <c r="M25" s="9">
        <v>3.6000000000000004E-2</v>
      </c>
      <c r="N25" s="9">
        <v>4.8000000000000001E-2</v>
      </c>
      <c r="O25" s="9">
        <v>2.7999999999999997E-2</v>
      </c>
      <c r="P25" s="9">
        <v>2.3E-2</v>
      </c>
      <c r="Q25" s="12">
        <v>0.82099999999999995</v>
      </c>
      <c r="R25" s="12">
        <v>0.33299999999999996</v>
      </c>
      <c r="T25" s="19"/>
      <c r="U25" s="19"/>
      <c r="X25" s="16"/>
    </row>
    <row r="26" spans="4:25" x14ac:dyDescent="0.25">
      <c r="D26" s="8">
        <v>2010</v>
      </c>
      <c r="E26" s="9">
        <v>0.02</v>
      </c>
      <c r="F26" s="9">
        <v>-0.02</v>
      </c>
      <c r="G26" s="9">
        <v>7.2000000000000008E-2</v>
      </c>
      <c r="H26" s="9">
        <v>9.5000000000000001E-2</v>
      </c>
      <c r="I26" s="9">
        <v>-8.5999999999999993E-2</v>
      </c>
      <c r="J26" s="9">
        <v>-2.6000000000000002E-2</v>
      </c>
      <c r="K26" s="9">
        <v>7.400000000000001E-2</v>
      </c>
      <c r="L26" s="9">
        <v>-5.5E-2</v>
      </c>
      <c r="M26" s="9">
        <v>0.13300000000000001</v>
      </c>
      <c r="N26" s="9">
        <v>-8.0000000000000002E-3</v>
      </c>
      <c r="O26" s="9">
        <v>0.01</v>
      </c>
      <c r="P26" s="9">
        <v>6.8000000000000005E-2</v>
      </c>
      <c r="Q26" s="12">
        <v>0.28300000000000003</v>
      </c>
      <c r="R26" s="12">
        <v>0.121</v>
      </c>
      <c r="T26" s="19"/>
      <c r="U26" s="19"/>
      <c r="X26" s="16"/>
    </row>
    <row r="27" spans="4:25" x14ac:dyDescent="0.25">
      <c r="D27" s="8">
        <v>2011</v>
      </c>
      <c r="E27" s="9">
        <v>-0.02</v>
      </c>
      <c r="F27" s="9">
        <v>-1.2E-2</v>
      </c>
      <c r="G27" s="9">
        <v>5.5E-2</v>
      </c>
      <c r="H27" s="9">
        <v>-3.0000000000000001E-3</v>
      </c>
      <c r="I27" s="9">
        <v>-2.4E-2</v>
      </c>
      <c r="J27" s="9">
        <v>-4.2000000000000003E-2</v>
      </c>
      <c r="K27" s="9">
        <v>-3.2000000000000001E-2</v>
      </c>
      <c r="L27" s="9">
        <v>-4.2000000000000003E-2</v>
      </c>
      <c r="M27" s="9">
        <v>-0.04</v>
      </c>
      <c r="N27" s="9">
        <v>5.2000000000000005E-2</v>
      </c>
      <c r="O27" s="9">
        <v>-3.7000000000000005E-2</v>
      </c>
      <c r="P27" s="9">
        <v>0.14199999999999999</v>
      </c>
      <c r="Q27" s="12">
        <v>-0.02</v>
      </c>
      <c r="R27" s="12">
        <v>-9.9000000000000005E-2</v>
      </c>
      <c r="T27" s="19"/>
      <c r="U27" s="19"/>
      <c r="X27" s="16"/>
    </row>
    <row r="28" spans="4:25" x14ac:dyDescent="0.25">
      <c r="D28" s="8">
        <v>2012</v>
      </c>
      <c r="E28" s="9">
        <v>5.9000000000000004E-2</v>
      </c>
      <c r="F28" s="9">
        <v>0.11199999999999999</v>
      </c>
      <c r="G28" s="9">
        <v>-5.0999999999999997E-2</v>
      </c>
      <c r="H28" s="9">
        <v>-8.0000000000000002E-3</v>
      </c>
      <c r="I28" s="9">
        <v>-6.7000000000000004E-2</v>
      </c>
      <c r="J28" s="9">
        <v>-1.8000000000000002E-2</v>
      </c>
      <c r="K28" s="9">
        <v>-2.7999999999999997E-2</v>
      </c>
      <c r="L28" s="9">
        <v>2.1000000000000001E-2</v>
      </c>
      <c r="M28" s="9">
        <v>0.04</v>
      </c>
      <c r="N28" s="9">
        <v>-3.4000000000000002E-2</v>
      </c>
      <c r="O28" s="9">
        <v>1.9E-2</v>
      </c>
      <c r="P28" s="9">
        <v>1.7000000000000001E-2</v>
      </c>
      <c r="Q28" s="10">
        <v>0.05</v>
      </c>
      <c r="R28" s="10">
        <v>0.13800000000000001</v>
      </c>
      <c r="U28" s="19"/>
      <c r="V28" s="19"/>
      <c r="Y28" s="16"/>
    </row>
    <row r="29" spans="4:25" x14ac:dyDescent="0.25">
      <c r="D29" s="8">
        <v>2013</v>
      </c>
      <c r="E29" s="9">
        <v>7.5999999999999998E-2</v>
      </c>
      <c r="F29" s="9">
        <v>6.4000000000000001E-2</v>
      </c>
      <c r="G29" s="9">
        <v>1.4999999999999999E-2</v>
      </c>
      <c r="H29" s="9">
        <v>-4.2999999999999997E-2</v>
      </c>
      <c r="I29" s="9">
        <v>5.4000000000000006E-2</v>
      </c>
      <c r="J29" s="9">
        <v>-3.1E-2</v>
      </c>
      <c r="K29" s="9">
        <v>8.3000000000000004E-2</v>
      </c>
      <c r="L29" s="9">
        <v>-4.0000000000000001E-3</v>
      </c>
      <c r="M29" s="9">
        <v>5.2000000000000005E-2</v>
      </c>
      <c r="N29" s="9">
        <v>3.7000000000000005E-2</v>
      </c>
      <c r="O29" s="9">
        <v>2.4E-2</v>
      </c>
      <c r="P29" s="9">
        <v>5.0000000000000001E-3</v>
      </c>
      <c r="Q29" s="12">
        <v>0.376</v>
      </c>
      <c r="R29" s="12">
        <v>0.21100000000000002</v>
      </c>
      <c r="U29" s="19"/>
      <c r="Y29" s="16"/>
    </row>
    <row r="30" spans="4:25" x14ac:dyDescent="0.25">
      <c r="D30" s="8">
        <v>2014</v>
      </c>
      <c r="E30" s="9">
        <v>6.5000000000000002E-2</v>
      </c>
      <c r="F30" s="9">
        <v>7.400000000000001E-2</v>
      </c>
      <c r="G30" s="9">
        <v>6.0000000000000001E-3</v>
      </c>
      <c r="H30" s="9">
        <v>2.2000000000000002E-2</v>
      </c>
      <c r="I30" s="9">
        <v>1.6E-2</v>
      </c>
      <c r="J30" s="9">
        <v>0.01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12">
        <v>0.20699999999999999</v>
      </c>
      <c r="R30" s="12">
        <v>0.05</v>
      </c>
      <c r="T30" s="20" t="s">
        <v>107</v>
      </c>
      <c r="U30" s="19"/>
      <c r="Y30" s="18"/>
    </row>
    <row r="31" spans="4:25" x14ac:dyDescent="0.25">
      <c r="D31" s="13"/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5">
        <v>0.161</v>
      </c>
      <c r="R31" s="15">
        <v>4.2999999999999997E-2</v>
      </c>
      <c r="U31" s="19"/>
      <c r="W31" s="19"/>
    </row>
    <row r="32" spans="4:25" x14ac:dyDescent="0.25">
      <c r="D32" s="23" t="s">
        <v>119</v>
      </c>
      <c r="U32" s="19"/>
    </row>
    <row r="34" spans="4:20" x14ac:dyDescent="0.25">
      <c r="D34" s="1"/>
      <c r="E34" s="2" t="s">
        <v>1</v>
      </c>
      <c r="F34" s="2" t="s">
        <v>2</v>
      </c>
      <c r="G34" s="2" t="s">
        <v>3</v>
      </c>
      <c r="H34" s="2" t="s">
        <v>4</v>
      </c>
      <c r="I34" s="2" t="s">
        <v>5</v>
      </c>
      <c r="J34" s="2" t="s">
        <v>6</v>
      </c>
      <c r="K34" s="2" t="s">
        <v>7</v>
      </c>
      <c r="L34" s="2" t="s">
        <v>8</v>
      </c>
      <c r="M34" s="2" t="s">
        <v>9</v>
      </c>
      <c r="N34" s="2" t="s">
        <v>10</v>
      </c>
      <c r="O34" s="2" t="s">
        <v>11</v>
      </c>
      <c r="P34" s="75" t="s">
        <v>12</v>
      </c>
      <c r="Q34" s="76"/>
      <c r="R34" s="76"/>
    </row>
    <row r="35" spans="4:20" ht="15" customHeight="1" x14ac:dyDescent="0.25">
      <c r="D35" s="5">
        <v>2015</v>
      </c>
      <c r="E35" s="6">
        <v>0</v>
      </c>
      <c r="F35" s="6">
        <v>0.16820783551257845</v>
      </c>
      <c r="G35" s="6">
        <v>0.16931656298314635</v>
      </c>
      <c r="H35" s="6">
        <v>0.16834193060950486</v>
      </c>
      <c r="I35" s="6">
        <v>0.16815728546373476</v>
      </c>
      <c r="J35" s="6">
        <v>0.16705051553864503</v>
      </c>
      <c r="K35" s="6">
        <v>0.1717067246495616</v>
      </c>
      <c r="L35" s="6">
        <v>0.17132174069714523</v>
      </c>
      <c r="M35" s="6">
        <v>0.17641154250436375</v>
      </c>
      <c r="N35" s="6">
        <v>0.17870487199998109</v>
      </c>
      <c r="O35" s="6">
        <v>0.17935266769570557</v>
      </c>
      <c r="P35" s="6">
        <v>0.17526143371186698</v>
      </c>
      <c r="Q35" s="76"/>
      <c r="T35" s="77" t="s">
        <v>108</v>
      </c>
    </row>
    <row r="36" spans="4:20" ht="15" customHeight="1" x14ac:dyDescent="0.25">
      <c r="D36" s="8">
        <v>2016</v>
      </c>
      <c r="E36" s="6">
        <v>0.17454074455534396</v>
      </c>
      <c r="F36" s="6">
        <v>0.18190346171557858</v>
      </c>
      <c r="G36" s="6">
        <v>0.18211372037678308</v>
      </c>
      <c r="H36" s="6">
        <v>0.18355034966607331</v>
      </c>
      <c r="I36" s="6">
        <v>0.18000851304943244</v>
      </c>
      <c r="J36" s="6">
        <v>0.17839185899353893</v>
      </c>
      <c r="K36" s="6">
        <v>0.18331080857216175</v>
      </c>
      <c r="L36" s="6">
        <v>0.18113321491697376</v>
      </c>
      <c r="M36" s="6">
        <v>0.17367548209818051</v>
      </c>
      <c r="N36" s="6">
        <v>0.17151143427169546</v>
      </c>
      <c r="O36" s="6">
        <v>0.17177830801682781</v>
      </c>
      <c r="P36" s="6">
        <v>0.16818237029132432</v>
      </c>
      <c r="Q36" s="76"/>
      <c r="R36" s="76"/>
      <c r="T36" s="77" t="s">
        <v>109</v>
      </c>
    </row>
    <row r="37" spans="4:20" x14ac:dyDescent="0.25">
      <c r="D37" s="8">
        <v>2017</v>
      </c>
      <c r="E37" s="6">
        <v>0.16460015781454418</v>
      </c>
      <c r="F37" s="6">
        <v>0.1592809818463794</v>
      </c>
      <c r="G37" s="6">
        <v>0.15512404698846383</v>
      </c>
      <c r="H37" s="6">
        <v>0.15603836070282129</v>
      </c>
      <c r="I37" s="6">
        <v>0.14675610507572512</v>
      </c>
      <c r="J37" s="6">
        <v>0.15253103790689804</v>
      </c>
      <c r="K37" s="6">
        <v>0.1555593805793265</v>
      </c>
      <c r="L37" s="6">
        <v>0.15851735002159928</v>
      </c>
      <c r="M37" s="6">
        <v>0.16581817989061332</v>
      </c>
      <c r="N37" s="6">
        <v>0.16457336689916691</v>
      </c>
      <c r="O37" s="6">
        <v>0.17182536777907043</v>
      </c>
      <c r="P37" s="6">
        <v>0.1746810210264198</v>
      </c>
      <c r="Q37" s="76"/>
      <c r="R37" s="76"/>
      <c r="T37" s="77" t="s">
        <v>110</v>
      </c>
    </row>
    <row r="38" spans="4:20" x14ac:dyDescent="0.25">
      <c r="D38" s="8">
        <v>2018</v>
      </c>
      <c r="E38" s="6">
        <v>0.18071625970381389</v>
      </c>
      <c r="F38" s="6">
        <v>0.1760863599197855</v>
      </c>
      <c r="G38" s="6">
        <v>0.17832818395614503</v>
      </c>
      <c r="H38" s="6">
        <v>0.18288295781105757</v>
      </c>
      <c r="I38" s="6">
        <v>0.18355536582024801</v>
      </c>
      <c r="J38" s="6">
        <v>0.18001756875733754</v>
      </c>
      <c r="K38" s="6">
        <v>0.18305249324405959</v>
      </c>
      <c r="L38" s="6">
        <v>0.18471140762354477</v>
      </c>
      <c r="M38" s="6">
        <v>0.18830215282860796</v>
      </c>
      <c r="N38" s="6">
        <v>0.19392103181105202</v>
      </c>
      <c r="O38" s="6">
        <v>0.20293126866996114</v>
      </c>
      <c r="P38" s="6">
        <v>0.2163246143273041</v>
      </c>
      <c r="Q38" s="76"/>
      <c r="R38" s="76"/>
      <c r="T38" s="77" t="s">
        <v>120</v>
      </c>
    </row>
    <row r="39" spans="4:20" x14ac:dyDescent="0.25">
      <c r="D39" s="8">
        <v>2019</v>
      </c>
      <c r="E39" s="6">
        <v>0.23334748555909779</v>
      </c>
      <c r="F39" s="6">
        <v>0.22621075297241799</v>
      </c>
      <c r="G39" s="6">
        <v>0.2268308395688412</v>
      </c>
      <c r="H39" s="6">
        <v>0.23727214618266634</v>
      </c>
      <c r="I39" s="6">
        <v>0.23169980911488985</v>
      </c>
      <c r="J39" s="6">
        <v>0.24982412502633444</v>
      </c>
      <c r="K39" s="6">
        <v>0.25312428840846279</v>
      </c>
      <c r="L39" s="6">
        <v>0.26776102440101002</v>
      </c>
      <c r="M39" s="6">
        <v>0.29262395530407104</v>
      </c>
      <c r="N39" s="6">
        <v>0.29365941752558178</v>
      </c>
      <c r="O39" s="6">
        <v>0.29837558177252399</v>
      </c>
      <c r="P39" s="6">
        <v>0.29304498457552586</v>
      </c>
      <c r="Q39" s="76"/>
      <c r="R39" s="76"/>
    </row>
    <row r="40" spans="4:20" x14ac:dyDescent="0.25">
      <c r="D40" s="8">
        <v>2020</v>
      </c>
      <c r="E40" s="6">
        <v>0.29078203504584588</v>
      </c>
      <c r="F40" s="6">
        <v>0.29394401711207596</v>
      </c>
      <c r="G40" s="6">
        <v>0.31898492313929805</v>
      </c>
      <c r="H40" s="6">
        <v>0.37290181045753013</v>
      </c>
      <c r="I40" s="6">
        <v>0.35205482503890573</v>
      </c>
      <c r="J40" s="6">
        <v>0.35864917050778033</v>
      </c>
      <c r="K40" s="6">
        <v>0.35776537951001552</v>
      </c>
      <c r="L40" s="6">
        <v>0.356854062273402</v>
      </c>
      <c r="M40" s="6">
        <v>0.33884099418753677</v>
      </c>
      <c r="N40" s="6">
        <v>0.33861198898553813</v>
      </c>
      <c r="O40" s="6">
        <v>0.36110579347106286</v>
      </c>
      <c r="P40" s="6">
        <v>0.33617373838573528</v>
      </c>
      <c r="Q40" s="76"/>
      <c r="R40" s="76"/>
    </row>
    <row r="41" spans="4:20" x14ac:dyDescent="0.25">
      <c r="D41" s="8">
        <v>2021</v>
      </c>
      <c r="E41" s="6">
        <v>0.31742981275157067</v>
      </c>
      <c r="F41" s="6">
        <v>0.31085389110542239</v>
      </c>
      <c r="G41" s="6">
        <v>0.15412808715396165</v>
      </c>
      <c r="H41" s="6">
        <v>0.15022502102651281</v>
      </c>
      <c r="I41" s="6">
        <v>0.14873386523019394</v>
      </c>
      <c r="J41" s="6">
        <v>0.15266704529245168</v>
      </c>
      <c r="K41" s="6">
        <v>0.15477386655256087</v>
      </c>
      <c r="L41" s="6">
        <v>0.15910340542399237</v>
      </c>
      <c r="M41" s="6">
        <v>0.15969880799964886</v>
      </c>
      <c r="N41" s="6">
        <v>0.10006953220853565</v>
      </c>
      <c r="O41" s="6">
        <v>7.5109729975876061E-2</v>
      </c>
      <c r="P41" s="6">
        <v>7.0402073768879303E-2</v>
      </c>
      <c r="Q41" s="76"/>
      <c r="R41" s="76"/>
    </row>
    <row r="42" spans="4:20" x14ac:dyDescent="0.25">
      <c r="D42" s="8">
        <v>2022</v>
      </c>
      <c r="E42" s="6">
        <v>6.7817884296416331E-2</v>
      </c>
      <c r="F42" s="6">
        <v>7.2684395113280953E-2</v>
      </c>
      <c r="G42" s="6">
        <v>7.9303141442355951E-2</v>
      </c>
      <c r="H42" s="6">
        <v>7.9680694060927371E-2</v>
      </c>
      <c r="I42" s="6">
        <v>9.0546767786250593E-2</v>
      </c>
      <c r="J42" s="6">
        <v>9.4955637463314702E-2</v>
      </c>
      <c r="K42" s="6">
        <v>0.11025605362383595</v>
      </c>
      <c r="L42" s="6">
        <v>0.11188454937804471</v>
      </c>
      <c r="M42" s="6">
        <v>0.12749591241903357</v>
      </c>
      <c r="N42" s="6">
        <v>0.15072675812782754</v>
      </c>
      <c r="O42" s="6">
        <v>0.13240547100813393</v>
      </c>
      <c r="P42" s="6">
        <v>8.6605288893642163E-2</v>
      </c>
      <c r="Q42" s="76"/>
      <c r="R42" s="76"/>
    </row>
    <row r="43" spans="4:20" x14ac:dyDescent="0.25">
      <c r="D43" s="8">
        <v>2023</v>
      </c>
      <c r="E43" s="6">
        <v>9.1305333813922696E-2</v>
      </c>
      <c r="F43" s="6">
        <v>9.40634764510484E-2</v>
      </c>
      <c r="G43" s="6">
        <v>0.12417996293630518</v>
      </c>
      <c r="H43" s="6">
        <v>0.15927112749488992</v>
      </c>
      <c r="I43" s="6">
        <v>0.14357898249595857</v>
      </c>
      <c r="J43" s="6">
        <v>0.14953808496471699</v>
      </c>
      <c r="K43" s="6">
        <v>0.12595673107774696</v>
      </c>
      <c r="L43" s="6">
        <v>0.10655639175891163</v>
      </c>
      <c r="M43" s="6">
        <v>0.12115161228768501</v>
      </c>
      <c r="N43" s="6">
        <v>0.13511549939265421</v>
      </c>
      <c r="O43" s="6">
        <v>0.15927839504941832</v>
      </c>
      <c r="P43" s="6">
        <v>0.15963971725937154</v>
      </c>
      <c r="Q43" s="76"/>
      <c r="R43" s="76"/>
    </row>
    <row r="48" spans="4:20" x14ac:dyDescent="0.25">
      <c r="D48" s="23" t="s">
        <v>115</v>
      </c>
    </row>
    <row r="50" spans="4:19" x14ac:dyDescent="0.25">
      <c r="D50" s="1"/>
      <c r="E50" s="2" t="s">
        <v>1</v>
      </c>
      <c r="F50" s="2" t="s">
        <v>2</v>
      </c>
      <c r="G50" s="2" t="s">
        <v>3</v>
      </c>
      <c r="H50" s="2" t="s">
        <v>4</v>
      </c>
      <c r="I50" s="2" t="s">
        <v>5</v>
      </c>
      <c r="J50" s="2" t="s">
        <v>6</v>
      </c>
      <c r="K50" s="2" t="s">
        <v>7</v>
      </c>
      <c r="L50" s="2" t="s">
        <v>8</v>
      </c>
      <c r="M50" s="2" t="s">
        <v>9</v>
      </c>
      <c r="N50" s="2" t="s">
        <v>10</v>
      </c>
      <c r="O50" s="2" t="s">
        <v>11</v>
      </c>
      <c r="P50" s="2" t="s">
        <v>12</v>
      </c>
      <c r="Q50" s="3" t="s">
        <v>13</v>
      </c>
    </row>
    <row r="51" spans="4:19" x14ac:dyDescent="0.25">
      <c r="D51" s="5">
        <v>2015</v>
      </c>
      <c r="E51" s="6">
        <v>0</v>
      </c>
      <c r="F51" s="6">
        <v>3.0585083333332097E-3</v>
      </c>
      <c r="G51" s="6">
        <v>2.2127749999999891E-2</v>
      </c>
      <c r="H51" s="6">
        <v>1.5245291666666549E-2</v>
      </c>
      <c r="I51" s="6">
        <v>2.3272799999999982E-2</v>
      </c>
      <c r="J51" s="6">
        <v>-2.7676000000000034E-2</v>
      </c>
      <c r="K51" s="6">
        <v>1.7483074999999904E-2</v>
      </c>
      <c r="L51" s="6">
        <v>-3.0499349999999925E-2</v>
      </c>
      <c r="M51" s="6">
        <v>-5.461583333333353E-3</v>
      </c>
      <c r="N51" s="6">
        <v>8.4955999999998255E-3</v>
      </c>
      <c r="O51" s="6">
        <v>5.0489999999999924E-2</v>
      </c>
      <c r="P51" s="6">
        <v>2.0696999999999965E-2</v>
      </c>
      <c r="Q51" s="9">
        <v>9.7645834170747126E-2</v>
      </c>
      <c r="S51" s="83"/>
    </row>
    <row r="52" spans="4:19" x14ac:dyDescent="0.25">
      <c r="D52" s="8">
        <v>2016</v>
      </c>
      <c r="E52" s="6">
        <v>-4.7262200000000032E-2</v>
      </c>
      <c r="F52" s="6">
        <v>1.3793516666666505E-2</v>
      </c>
      <c r="G52" s="6">
        <v>2.8683999999998822E-3</v>
      </c>
      <c r="H52" s="6">
        <v>4.4904799999999856E-2</v>
      </c>
      <c r="I52" s="6">
        <v>2.791574166666666E-2</v>
      </c>
      <c r="J52" s="6">
        <v>-2.4122500000000158E-2</v>
      </c>
      <c r="K52" s="6">
        <v>3.3023400000000036E-2</v>
      </c>
      <c r="L52" s="6">
        <v>7.6227291666666641E-2</v>
      </c>
      <c r="M52" s="6">
        <v>3.2202833333333292E-2</v>
      </c>
      <c r="N52" s="6">
        <v>1.2154224999999741E-2</v>
      </c>
      <c r="O52" s="6">
        <v>4.3215666666666763E-2</v>
      </c>
      <c r="P52" s="6">
        <v>4.2353300000000038E-2</v>
      </c>
      <c r="Q52" s="9">
        <v>0.28170769074834023</v>
      </c>
      <c r="S52" s="83"/>
    </row>
    <row r="53" spans="4:19" x14ac:dyDescent="0.25">
      <c r="D53" s="8">
        <v>2017</v>
      </c>
      <c r="E53" s="6">
        <v>5.5378983333333354E-2</v>
      </c>
      <c r="F53" s="6">
        <v>4.6271416666666676E-2</v>
      </c>
      <c r="G53" s="6">
        <v>6.2646250000000236E-3</v>
      </c>
      <c r="H53" s="6">
        <v>8.6410499999999946E-2</v>
      </c>
      <c r="I53" s="6">
        <v>-2.9732225000000168E-2</v>
      </c>
      <c r="J53" s="6">
        <v>-8.5727500000001289E-3</v>
      </c>
      <c r="K53" s="6">
        <v>-7.4556916666667084E-3</v>
      </c>
      <c r="L53" s="6">
        <v>-3.7494433333333355E-2</v>
      </c>
      <c r="M53" s="6">
        <v>2.3584099999999886E-2</v>
      </c>
      <c r="N53" s="6">
        <v>-3.5523399999999983E-2</v>
      </c>
      <c r="O53" s="6">
        <v>-4.4013166666665438E-3</v>
      </c>
      <c r="P53" s="6">
        <v>-2.5224275000000018E-2</v>
      </c>
      <c r="Q53" s="9">
        <v>6.2687737554804723E-2</v>
      </c>
      <c r="S53" s="83"/>
    </row>
    <row r="54" spans="4:19" x14ac:dyDescent="0.25">
      <c r="D54" s="8">
        <v>2018</v>
      </c>
      <c r="E54" s="6">
        <v>4.6933249999999926E-2</v>
      </c>
      <c r="F54" s="6">
        <v>9.4804999999986705E-4</v>
      </c>
      <c r="G54" s="6">
        <v>-1.3835200000000047E-2</v>
      </c>
      <c r="H54" s="6">
        <v>1.2323000000000084E-2</v>
      </c>
      <c r="I54" s="6">
        <v>3.938509999999984E-2</v>
      </c>
      <c r="J54" s="6">
        <v>-2.6949166666665469E-3</v>
      </c>
      <c r="K54" s="6">
        <v>6.2924666666668294E-3</v>
      </c>
      <c r="L54" s="6">
        <v>-5.710133333333367E-3</v>
      </c>
      <c r="M54" s="6">
        <v>-1.6653775000000093E-2</v>
      </c>
      <c r="N54" s="6">
        <v>-3.5619049999999985E-2</v>
      </c>
      <c r="O54" s="6">
        <v>-5.7501166666666603E-2</v>
      </c>
      <c r="P54" s="6">
        <v>-7.4500208333333262E-2</v>
      </c>
      <c r="Q54" s="9">
        <v>-0.10311328986480983</v>
      </c>
      <c r="S54" s="83"/>
    </row>
    <row r="55" spans="4:19" x14ac:dyDescent="0.25">
      <c r="D55" s="8">
        <v>2019</v>
      </c>
      <c r="E55" s="6">
        <v>6.0583283333333293E-2</v>
      </c>
      <c r="F55" s="6">
        <v>1.6357549999999943E-2</v>
      </c>
      <c r="G55" s="6">
        <v>-3.6773683333333307E-2</v>
      </c>
      <c r="H55" s="6">
        <v>5.1421004583333207E-2</v>
      </c>
      <c r="I55" s="6">
        <v>-7.2888302083333301E-2</v>
      </c>
      <c r="J55" s="6">
        <v>4.1704989999999942E-3</v>
      </c>
      <c r="K55" s="6">
        <v>-5.1011300000000093E-2</v>
      </c>
      <c r="L55" s="6">
        <v>-9.5203180500000095E-2</v>
      </c>
      <c r="M55" s="6">
        <v>1.8982641500000064E-2</v>
      </c>
      <c r="N55" s="6">
        <v>8.4257225000006208E-4</v>
      </c>
      <c r="O55" s="6">
        <v>4.9870418000000027E-2</v>
      </c>
      <c r="P55" s="6">
        <v>3.3818900000000207E-2</v>
      </c>
      <c r="Q55" s="9">
        <v>-3.5143800543303128E-2</v>
      </c>
      <c r="S55" s="83"/>
    </row>
    <row r="56" spans="4:19" x14ac:dyDescent="0.25">
      <c r="D56" s="8">
        <v>2020</v>
      </c>
      <c r="E56" s="6">
        <v>7.4460411666665838E-3</v>
      </c>
      <c r="F56" s="6">
        <v>-8.2748209666666628E-2</v>
      </c>
      <c r="G56" s="6">
        <v>-0.18404719029166672</v>
      </c>
      <c r="H56" s="6">
        <v>0.11906564800000008</v>
      </c>
      <c r="I56" s="6">
        <v>-1.8259654333332431E-3</v>
      </c>
      <c r="J56" s="6">
        <v>3.0158546183333357E-2</v>
      </c>
      <c r="K56" s="6">
        <v>3.0141214716666642E-2</v>
      </c>
      <c r="L56" s="6">
        <v>0.10015513666666687</v>
      </c>
      <c r="M56" s="6">
        <v>2.6137381400000104E-2</v>
      </c>
      <c r="N56" s="6">
        <v>-5.888355125000011E-2</v>
      </c>
      <c r="O56" s="6">
        <v>0.12617310373333313</v>
      </c>
      <c r="P56" s="6">
        <v>9.7230872791666645E-2</v>
      </c>
      <c r="Q56" s="9">
        <v>0.1756089556542948</v>
      </c>
      <c r="S56" s="83"/>
    </row>
    <row r="57" spans="4:19" x14ac:dyDescent="0.25">
      <c r="D57" s="8">
        <v>2021</v>
      </c>
      <c r="E57" s="6">
        <v>4.8166300133333451E-2</v>
      </c>
      <c r="F57" s="6">
        <v>0.87522078125000013</v>
      </c>
      <c r="G57" s="6">
        <v>2.8136766833333438E-2</v>
      </c>
      <c r="H57" s="6">
        <v>1.8132942316666734E-2</v>
      </c>
      <c r="I57" s="6">
        <v>-3.8739230000001124E-3</v>
      </c>
      <c r="J57" s="6">
        <v>4.1245043666666703E-3</v>
      </c>
      <c r="K57" s="6">
        <v>-3.8712338000000956E-3</v>
      </c>
      <c r="L57" s="6">
        <v>1.0136467833333551E-2</v>
      </c>
      <c r="M57" s="6">
        <v>0.26217964569999985</v>
      </c>
      <c r="N57" s="6">
        <v>0.10720606804999999</v>
      </c>
      <c r="O57" s="6">
        <v>2.4330316799999974E-2</v>
      </c>
      <c r="P57" s="6">
        <v>1.5384575041666571E-2</v>
      </c>
      <c r="Q57" s="9">
        <v>2.0108428624803509</v>
      </c>
      <c r="S57" s="83"/>
    </row>
    <row r="58" spans="4:19" x14ac:dyDescent="0.25">
      <c r="D58" s="8">
        <v>2022</v>
      </c>
      <c r="E58" s="6">
        <v>-1.1769260833333406E-2</v>
      </c>
      <c r="F58" s="6">
        <v>-1.6653082916666673E-2</v>
      </c>
      <c r="G58" s="6">
        <v>5.7159871249998773E-3</v>
      </c>
      <c r="H58" s="6">
        <v>-2.8264851045000094E-2</v>
      </c>
      <c r="I58" s="6">
        <v>-6.2412983500000907E-3</v>
      </c>
      <c r="J58" s="6">
        <v>-3.7994713916666756E-2</v>
      </c>
      <c r="K58" s="6">
        <v>5.3553163333333043E-3</v>
      </c>
      <c r="L58" s="6">
        <v>-3.4772225500000031E-2</v>
      </c>
      <c r="M58" s="6">
        <v>-5.1737009775000065E-2</v>
      </c>
      <c r="N58" s="6">
        <v>6.4902008183333137E-2</v>
      </c>
      <c r="O58" s="6">
        <v>0.14655575320000014</v>
      </c>
      <c r="P58" s="6">
        <v>-4.0207968999999011E-3</v>
      </c>
      <c r="Q58" s="9">
        <v>1.7011241576821989E-2</v>
      </c>
      <c r="S58" s="83"/>
    </row>
    <row r="59" spans="4:19" x14ac:dyDescent="0.25">
      <c r="D59" s="8">
        <v>2023</v>
      </c>
      <c r="E59" s="6">
        <v>1.5542237754166965E-3</v>
      </c>
      <c r="F59" s="6">
        <v>-6.3749671249999973E-2</v>
      </c>
      <c r="G59" s="6">
        <v>-6.8790124249999973E-2</v>
      </c>
      <c r="H59" s="6">
        <v>5.0325621299999845E-2</v>
      </c>
      <c r="I59" s="6">
        <v>-7.1194793333329009E-4</v>
      </c>
      <c r="J59" s="6">
        <v>6.5402618000000023E-2</v>
      </c>
      <c r="K59" s="6">
        <v>5.335119756666673E-2</v>
      </c>
      <c r="L59" s="6">
        <v>-1.9738403491666667E-2</v>
      </c>
      <c r="M59" s="6">
        <v>-1.5719372174999968E-2</v>
      </c>
      <c r="N59" s="6">
        <v>-3.1868827575000092E-2</v>
      </c>
      <c r="O59" s="6">
        <v>1.3018864733333357E-2</v>
      </c>
      <c r="P59" s="6">
        <v>3.7028730733333237E-2</v>
      </c>
      <c r="Q59" s="9">
        <v>9.5407121031267916E-3</v>
      </c>
      <c r="S59" s="83"/>
    </row>
    <row r="60" spans="4:19" x14ac:dyDescent="0.25">
      <c r="D60" s="8">
        <v>2024</v>
      </c>
      <c r="E60" s="6">
        <v>2.6015646874999909E-2</v>
      </c>
      <c r="F60" s="6">
        <v>2.7921407283333144E-2</v>
      </c>
      <c r="G60" s="6">
        <v>5.1996260416666606E-2</v>
      </c>
      <c r="H60" s="6">
        <v>1.3078867900000013E-2</v>
      </c>
      <c r="I60" s="6">
        <v>1.7221215066666851E-2</v>
      </c>
      <c r="J60" s="6">
        <v>-6.7628023999999343E-3</v>
      </c>
      <c r="K60" s="6">
        <v>6.1435681666666575E-2</v>
      </c>
      <c r="L60" s="6">
        <v>-1.2640815433333397E-2</v>
      </c>
      <c r="M60" s="6">
        <v>3.3538105499999471E-3</v>
      </c>
      <c r="N60" s="6">
        <v>3.3457242499990159E-4</v>
      </c>
      <c r="O60" s="6">
        <v>5.4548533024999957E-2</v>
      </c>
      <c r="P60" s="6">
        <v>6.595621749999836E-3</v>
      </c>
      <c r="Q60" s="9">
        <v>0.26884362526745176</v>
      </c>
      <c r="S60" s="83"/>
    </row>
    <row r="61" spans="4:19" x14ac:dyDescent="0.25">
      <c r="D61" s="8">
        <v>2025</v>
      </c>
      <c r="E61" s="6">
        <v>3.6637844374999951E-2</v>
      </c>
      <c r="F61" s="6">
        <v>6.315335000000033E-4</v>
      </c>
      <c r="G61" s="6">
        <v>-1.6452957200000173E-2</v>
      </c>
      <c r="H61" s="6">
        <v>-1.2396106666666684E-2</v>
      </c>
      <c r="I61" s="6">
        <v>7.168295841666672E-2</v>
      </c>
      <c r="J61" s="6">
        <v>1.9714973700000193E-2</v>
      </c>
      <c r="K61" s="6">
        <v>2.6794826249999959E-2</v>
      </c>
      <c r="L61" s="6">
        <v>-1.3295129166666753E-2</v>
      </c>
      <c r="M61" s="6">
        <v>-3.3279107916667217E-3</v>
      </c>
      <c r="N61" s="6">
        <v>-2.836129816666666E-2</v>
      </c>
      <c r="O61" s="6">
        <v>-6.4365253333332761E-3</v>
      </c>
      <c r="P61" s="6">
        <v>-1.2594037950000025E-2</v>
      </c>
      <c r="Q61" s="9">
        <v>6.1418753390319214E-2</v>
      </c>
      <c r="S61" s="83"/>
    </row>
    <row r="62" spans="4:19" x14ac:dyDescent="0.25">
      <c r="D62" s="21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78">
        <v>0.18523896016767671</v>
      </c>
      <c r="S62" s="83"/>
    </row>
    <row r="63" spans="4:19" x14ac:dyDescent="0.25">
      <c r="D63" s="81" t="s">
        <v>116</v>
      </c>
      <c r="S63" s="83"/>
    </row>
    <row r="64" spans="4:19" x14ac:dyDescent="0.25">
      <c r="S64" s="83"/>
    </row>
    <row r="65" spans="4:19" x14ac:dyDescent="0.25">
      <c r="D65" s="23" t="s">
        <v>122</v>
      </c>
      <c r="S65" s="83"/>
    </row>
    <row r="66" spans="4:19" x14ac:dyDescent="0.25">
      <c r="D66" s="1" t="s">
        <v>0</v>
      </c>
      <c r="E66" s="2" t="s">
        <v>1</v>
      </c>
      <c r="F66" s="2" t="s">
        <v>2</v>
      </c>
      <c r="G66" s="2" t="s">
        <v>3</v>
      </c>
      <c r="H66" s="2" t="s">
        <v>4</v>
      </c>
      <c r="I66" s="2" t="s">
        <v>5</v>
      </c>
      <c r="J66" s="2" t="s">
        <v>6</v>
      </c>
      <c r="K66" s="2" t="s">
        <v>7</v>
      </c>
      <c r="L66" s="2" t="s">
        <v>8</v>
      </c>
      <c r="M66" s="2" t="s">
        <v>9</v>
      </c>
      <c r="N66" s="2" t="s">
        <v>10</v>
      </c>
      <c r="O66" s="2" t="s">
        <v>11</v>
      </c>
      <c r="P66" s="2" t="s">
        <v>12</v>
      </c>
      <c r="Q66" s="2" t="s">
        <v>13</v>
      </c>
      <c r="S66" s="83"/>
    </row>
    <row r="67" spans="4:19" x14ac:dyDescent="0.25">
      <c r="D67" s="5">
        <v>2006</v>
      </c>
      <c r="E67" s="6">
        <v>5.9348949999999956E-2</v>
      </c>
      <c r="F67" s="6">
        <v>4.6384624999999957E-2</v>
      </c>
      <c r="G67" s="6">
        <v>1.0446233333333277E-2</v>
      </c>
      <c r="H67" s="6">
        <v>6.157233333333334E-2</v>
      </c>
      <c r="I67" s="6">
        <v>2.3567066666666747E-2</v>
      </c>
      <c r="J67" s="6">
        <v>-5.4473866666666759E-2</v>
      </c>
      <c r="K67" s="6">
        <v>2.4687949999999903E-2</v>
      </c>
      <c r="L67" s="6">
        <v>5.5537083333333293E-2</v>
      </c>
      <c r="M67" s="6">
        <v>9.4457333333333393E-2</v>
      </c>
      <c r="N67" s="6">
        <v>8.6256791666666777E-2</v>
      </c>
      <c r="O67" s="6">
        <v>0.11212951666666671</v>
      </c>
      <c r="P67" s="6">
        <v>3.9361333333332027E-3</v>
      </c>
      <c r="Q67" s="9">
        <v>0.65211756923527475</v>
      </c>
      <c r="S67" s="83"/>
    </row>
    <row r="68" spans="4:19" x14ac:dyDescent="0.25">
      <c r="D68" s="8">
        <v>2007</v>
      </c>
      <c r="E68" s="6">
        <v>3.3783358333333346E-2</v>
      </c>
      <c r="F68" s="6">
        <v>3.6853833333332364E-3</v>
      </c>
      <c r="G68" s="6">
        <v>4.2729400000000028E-2</v>
      </c>
      <c r="H68" s="6">
        <v>4.0667333333333389E-2</v>
      </c>
      <c r="I68" s="6">
        <v>1.7601725000000012E-2</v>
      </c>
      <c r="J68" s="6">
        <v>-3.8455433333333455E-2</v>
      </c>
      <c r="K68" s="6">
        <v>-1.9518166666666836E-2</v>
      </c>
      <c r="L68" s="6">
        <v>-2.3422533333333218E-2</v>
      </c>
      <c r="M68" s="6">
        <v>-4.8492800000000114E-2</v>
      </c>
      <c r="N68" s="6">
        <v>-2.394306666666679E-2</v>
      </c>
      <c r="O68" s="6">
        <v>-4.7198541666666705E-2</v>
      </c>
      <c r="P68" s="6">
        <v>-1.0247499999999965E-2</v>
      </c>
      <c r="Q68" s="9">
        <v>-7.6109650350457025E-2</v>
      </c>
      <c r="S68" s="83"/>
    </row>
    <row r="69" spans="4:19" x14ac:dyDescent="0.25">
      <c r="D69" s="8">
        <v>2008</v>
      </c>
      <c r="E69" s="6">
        <v>-0.11009147500000005</v>
      </c>
      <c r="F69" s="6">
        <v>6.9900666666666833E-2</v>
      </c>
      <c r="G69" s="6">
        <v>-5.2017083333333325E-3</v>
      </c>
      <c r="H69" s="6">
        <v>-4.8977475000000048E-2</v>
      </c>
      <c r="I69" s="6">
        <v>1.8745291666666608E-2</v>
      </c>
      <c r="J69" s="6">
        <v>-0.18078567500000009</v>
      </c>
      <c r="K69" s="6">
        <v>5.6899999999999729E-3</v>
      </c>
      <c r="L69" s="6">
        <v>3.5569350000000055E-2</v>
      </c>
      <c r="M69" s="6">
        <v>-0.14050675000000001</v>
      </c>
      <c r="N69" s="6">
        <v>-0.12737102499999997</v>
      </c>
      <c r="O69" s="6">
        <v>-5.6932000000000649E-3</v>
      </c>
      <c r="P69" s="6">
        <v>-1.6026041666666768E-2</v>
      </c>
      <c r="Q69" s="9">
        <v>-0.42549045898037008</v>
      </c>
      <c r="S69" s="83"/>
    </row>
    <row r="70" spans="4:19" x14ac:dyDescent="0.25">
      <c r="D70" s="8">
        <v>2009</v>
      </c>
      <c r="E70" s="6">
        <v>3.7186249999998644E-3</v>
      </c>
      <c r="F70" s="6">
        <v>2.1242016666666697E-2</v>
      </c>
      <c r="G70" s="6">
        <v>3.0544641666666594E-2</v>
      </c>
      <c r="H70" s="6">
        <v>0.21638135833333338</v>
      </c>
      <c r="I70" s="6">
        <v>6.3024666666666729E-2</v>
      </c>
      <c r="J70" s="6">
        <v>-1.2988E-2</v>
      </c>
      <c r="K70" s="6">
        <v>8.2070424999999947E-2</v>
      </c>
      <c r="L70" s="6">
        <v>8.6039816666666713E-2</v>
      </c>
      <c r="M70" s="6">
        <v>3.5050333333333406E-2</v>
      </c>
      <c r="N70" s="6">
        <v>4.7004400000000057E-2</v>
      </c>
      <c r="O70" s="6">
        <v>2.6997700000000124E-2</v>
      </c>
      <c r="P70" s="6">
        <v>2.2019624999999987E-2</v>
      </c>
      <c r="Q70" s="9">
        <v>0.80211688244610713</v>
      </c>
      <c r="S70" s="83"/>
    </row>
    <row r="71" spans="4:19" x14ac:dyDescent="0.25">
      <c r="D71" s="8">
        <v>2010</v>
      </c>
      <c r="E71" s="6">
        <v>1.8979999999999997E-2</v>
      </c>
      <c r="F71" s="6">
        <v>-2.1004500000000093E-2</v>
      </c>
      <c r="G71" s="6">
        <v>7.0928000000000102E-2</v>
      </c>
      <c r="H71" s="6">
        <v>9.3914124999999959E-2</v>
      </c>
      <c r="I71" s="6">
        <v>-8.6784516666666645E-2</v>
      </c>
      <c r="J71" s="6">
        <v>-2.6771083333333334E-2</v>
      </c>
      <c r="K71" s="6">
        <v>7.2943900000000061E-2</v>
      </c>
      <c r="L71" s="6">
        <v>-5.6047375000000121E-2</v>
      </c>
      <c r="M71" s="6">
        <v>0.13164039999999999</v>
      </c>
      <c r="N71" s="6">
        <v>-9.4383999999999579E-3</v>
      </c>
      <c r="O71" s="6">
        <v>8.2830000000000403E-3</v>
      </c>
      <c r="P71" s="6">
        <v>6.6059800000000113E-2</v>
      </c>
      <c r="Q71" s="9">
        <v>0.26753303444157051</v>
      </c>
      <c r="S71" s="83"/>
    </row>
    <row r="72" spans="4:19" x14ac:dyDescent="0.25">
      <c r="D72" s="8">
        <v>2011</v>
      </c>
      <c r="E72" s="6">
        <v>-2.195999999999998E-2</v>
      </c>
      <c r="F72" s="6">
        <v>-1.4190066666666667E-2</v>
      </c>
      <c r="G72" s="6">
        <v>5.2661416666666572E-2</v>
      </c>
      <c r="H72" s="6">
        <v>-5.3014083333333684E-3</v>
      </c>
      <c r="I72" s="6">
        <v>-2.6358666666666641E-2</v>
      </c>
      <c r="J72" s="6">
        <v>-4.4259283333333399E-2</v>
      </c>
      <c r="K72" s="6">
        <v>-3.422639999999999E-2</v>
      </c>
      <c r="L72" s="6">
        <v>-4.4091633333333324E-2</v>
      </c>
      <c r="M72" s="6">
        <v>-4.1960000000000108E-2</v>
      </c>
      <c r="N72" s="6">
        <v>5.0001200000000079E-2</v>
      </c>
      <c r="O72" s="6">
        <v>-3.8797600000000099E-2</v>
      </c>
      <c r="P72" s="6">
        <v>0.14002053333333331</v>
      </c>
      <c r="Q72" s="9">
        <v>-4.3991715737895287E-2</v>
      </c>
      <c r="S72" s="83"/>
    </row>
    <row r="73" spans="4:19" x14ac:dyDescent="0.25">
      <c r="D73" s="8">
        <v>2012</v>
      </c>
      <c r="E73" s="6">
        <v>5.6917299999999837E-2</v>
      </c>
      <c r="F73" s="6">
        <v>0.10969260000000003</v>
      </c>
      <c r="G73" s="6">
        <v>-5.2898000000000001E-2</v>
      </c>
      <c r="H73" s="6">
        <v>-9.9426666666666552E-3</v>
      </c>
      <c r="I73" s="6">
        <v>-6.8780474999999952E-2</v>
      </c>
      <c r="J73" s="6">
        <v>-1.9734866666666684E-2</v>
      </c>
      <c r="K73" s="6">
        <v>-2.9620000000000091E-2</v>
      </c>
      <c r="L73" s="6">
        <v>1.9221758333333172E-2</v>
      </c>
      <c r="M73" s="6">
        <v>3.8266666666666671E-2</v>
      </c>
      <c r="N73" s="6">
        <v>-3.5569750000000067E-2</v>
      </c>
      <c r="O73" s="6">
        <v>1.7276191666666607E-2</v>
      </c>
      <c r="P73" s="6">
        <v>1.5330424999999925E-2</v>
      </c>
      <c r="Q73" s="9">
        <v>2.691137228158591E-2</v>
      </c>
      <c r="S73" s="83"/>
    </row>
    <row r="74" spans="4:19" x14ac:dyDescent="0.25">
      <c r="D74" s="8">
        <v>2013</v>
      </c>
      <c r="E74" s="6">
        <v>7.4269433333333357E-2</v>
      </c>
      <c r="F74" s="6">
        <v>6.2262133333333303E-2</v>
      </c>
      <c r="G74" s="6">
        <v>1.3342166666666433E-2</v>
      </c>
      <c r="H74" s="6">
        <v>-4.4555125000000029E-2</v>
      </c>
      <c r="I74" s="6">
        <v>5.231359999999996E-2</v>
      </c>
      <c r="J74" s="6">
        <v>-3.2558474999999976E-2</v>
      </c>
      <c r="K74" s="6">
        <v>8.1204024999999902E-2</v>
      </c>
      <c r="L74" s="6">
        <v>-5.6682999999999595E-3</v>
      </c>
      <c r="M74" s="6">
        <v>5.0264199999999981E-2</v>
      </c>
      <c r="N74" s="6">
        <v>3.527166666666659E-2</v>
      </c>
      <c r="O74" s="6">
        <v>2.2293333333333276E-2</v>
      </c>
      <c r="P74" s="6">
        <v>3.4254999999998592E-3</v>
      </c>
      <c r="Q74" s="9">
        <v>0.3487425796507726</v>
      </c>
      <c r="S74" s="83"/>
    </row>
    <row r="75" spans="4:19" x14ac:dyDescent="0.25">
      <c r="D75" s="8">
        <v>2014</v>
      </c>
      <c r="E75" s="6">
        <v>6.3393625000000009E-2</v>
      </c>
      <c r="F75" s="6">
        <v>7.2389000000000037E-2</v>
      </c>
      <c r="G75" s="6">
        <v>4.4826166666667167E-3</v>
      </c>
      <c r="H75" s="6">
        <v>2.0484033333333374E-2</v>
      </c>
      <c r="I75" s="6">
        <v>1.4518333333333411E-2</v>
      </c>
      <c r="J75" s="6">
        <v>8.5944166666667154E-3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9">
        <v>0.19611104754020392</v>
      </c>
      <c r="S75" s="83"/>
    </row>
    <row r="76" spans="4:19" x14ac:dyDescent="0.25">
      <c r="D76" s="13"/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5">
        <v>0.14499999999999999</v>
      </c>
    </row>
    <row r="77" spans="4:19" x14ac:dyDescent="0.25">
      <c r="D77" s="81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4FCC9-F948-4B43-A533-3F8120B65B14}">
  <dimension ref="B2:AI53"/>
  <sheetViews>
    <sheetView topLeftCell="I1" workbookViewId="0">
      <selection activeCell="Y9" sqref="Y9"/>
    </sheetView>
  </sheetViews>
  <sheetFormatPr defaultColWidth="8.7109375" defaultRowHeight="15" x14ac:dyDescent="0.25"/>
  <cols>
    <col min="1" max="1" width="8.7109375" style="4"/>
    <col min="2" max="2" width="9.42578125" style="4" bestFit="1" customWidth="1"/>
    <col min="3" max="3" width="31" style="4" bestFit="1" customWidth="1"/>
    <col min="4" max="5" width="8.28515625" style="4" bestFit="1" customWidth="1"/>
    <col min="6" max="6" width="9.42578125" style="4" bestFit="1" customWidth="1"/>
    <col min="7" max="7" width="7.28515625" style="4" bestFit="1" customWidth="1"/>
    <col min="8" max="8" width="14.28515625" style="4" bestFit="1" customWidth="1"/>
    <col min="9" max="22" width="8.7109375" style="4"/>
    <col min="23" max="23" width="9.7109375" style="4" bestFit="1" customWidth="1"/>
    <col min="24" max="16384" width="8.7109375" style="4"/>
  </cols>
  <sheetData>
    <row r="2" spans="2:26" x14ac:dyDescent="0.25">
      <c r="B2" s="72"/>
      <c r="C2" s="25"/>
      <c r="D2" s="141" t="s">
        <v>186</v>
      </c>
      <c r="E2" s="142"/>
      <c r="F2" s="25"/>
      <c r="G2" s="25" t="s">
        <v>186</v>
      </c>
      <c r="H2" s="25" t="s">
        <v>105</v>
      </c>
      <c r="I2" s="25"/>
      <c r="J2" s="26"/>
      <c r="K2" s="73"/>
      <c r="X2" s="4" t="s">
        <v>193</v>
      </c>
      <c r="Y2" s="4" t="s">
        <v>194</v>
      </c>
      <c r="Z2" s="4" t="s">
        <v>195</v>
      </c>
    </row>
    <row r="3" spans="2:26" x14ac:dyDescent="0.25">
      <c r="B3" s="24" t="s">
        <v>15</v>
      </c>
      <c r="C3" s="24" t="s">
        <v>16</v>
      </c>
      <c r="D3" s="42" t="s">
        <v>190</v>
      </c>
      <c r="E3" s="42" t="s">
        <v>191</v>
      </c>
      <c r="F3" s="25" t="s">
        <v>17</v>
      </c>
      <c r="G3" s="26" t="s">
        <v>18</v>
      </c>
      <c r="H3" s="26" t="s">
        <v>106</v>
      </c>
      <c r="I3" s="25" t="s">
        <v>19</v>
      </c>
      <c r="J3" s="25" t="s">
        <v>20</v>
      </c>
      <c r="K3" s="25" t="s">
        <v>21</v>
      </c>
      <c r="M3" s="60" t="s">
        <v>24</v>
      </c>
      <c r="N3" s="61"/>
      <c r="O3" s="61"/>
      <c r="P3" s="61"/>
      <c r="Q3" s="61"/>
      <c r="R3" s="61"/>
      <c r="S3" s="62"/>
      <c r="W3" s="4" t="s">
        <v>192</v>
      </c>
      <c r="X3" s="4">
        <v>17</v>
      </c>
      <c r="Y3" s="139">
        <v>4.72</v>
      </c>
      <c r="Z3" s="4">
        <v>2.2000000000000002</v>
      </c>
    </row>
    <row r="4" spans="2:26" x14ac:dyDescent="0.25">
      <c r="B4" s="27" t="s">
        <v>22</v>
      </c>
      <c r="C4" s="28" t="s">
        <v>23</v>
      </c>
      <c r="D4" s="29">
        <v>0.13329527695539412</v>
      </c>
      <c r="E4" s="29">
        <v>0.18407068182757103</v>
      </c>
      <c r="F4" s="29">
        <v>0.34859419465065</v>
      </c>
      <c r="G4" s="29">
        <v>7.6872330909670605E-2</v>
      </c>
      <c r="H4" s="29">
        <v>0.2717218637409794</v>
      </c>
      <c r="I4" s="30">
        <v>53.58427142</v>
      </c>
      <c r="J4" s="30">
        <v>107.0087109441242</v>
      </c>
      <c r="K4" s="31">
        <v>1.9970171863563653</v>
      </c>
      <c r="M4" s="63" t="s">
        <v>26</v>
      </c>
      <c r="S4" s="64"/>
      <c r="W4" s="4" t="s">
        <v>76</v>
      </c>
      <c r="X4" s="4">
        <v>22</v>
      </c>
      <c r="Y4" s="139">
        <v>0.4</v>
      </c>
      <c r="Z4" s="4">
        <v>2.7</v>
      </c>
    </row>
    <row r="5" spans="2:26" x14ac:dyDescent="0.25">
      <c r="B5" s="27" t="s">
        <v>22</v>
      </c>
      <c r="C5" s="32" t="s">
        <v>25</v>
      </c>
      <c r="D5" s="29">
        <v>-1.8186668920611493E-2</v>
      </c>
      <c r="E5" s="29">
        <v>7.8124100305398958E-3</v>
      </c>
      <c r="F5" s="29">
        <v>6.6046836972236636E-2</v>
      </c>
      <c r="G5" s="29">
        <v>7.7811953589021821E-2</v>
      </c>
      <c r="H5" s="29">
        <v>-1.1765116616785185E-2</v>
      </c>
      <c r="I5" s="30">
        <v>76.911000550000011</v>
      </c>
      <c r="J5" s="30">
        <v>94.367243586286975</v>
      </c>
      <c r="K5" s="31">
        <v>1.2269667916352047</v>
      </c>
      <c r="M5" s="63" t="s">
        <v>29</v>
      </c>
      <c r="S5" s="64"/>
      <c r="W5" s="4" t="s">
        <v>196</v>
      </c>
      <c r="X5" s="4">
        <v>9</v>
      </c>
      <c r="Y5" s="139">
        <v>0.22</v>
      </c>
      <c r="Z5" s="4">
        <v>2</v>
      </c>
    </row>
    <row r="6" spans="2:26" x14ac:dyDescent="0.25">
      <c r="B6" s="33" t="s">
        <v>27</v>
      </c>
      <c r="C6" s="28" t="s">
        <v>28</v>
      </c>
      <c r="D6" s="135" t="s">
        <v>189</v>
      </c>
      <c r="E6" s="135" t="s">
        <v>189</v>
      </c>
      <c r="F6" s="29">
        <v>0.68854987025260928</v>
      </c>
      <c r="G6" s="29">
        <v>9.5813492094823483E-2</v>
      </c>
      <c r="H6" s="29">
        <v>0.59273637815778579</v>
      </c>
      <c r="I6" s="30">
        <v>8.2241765000000004</v>
      </c>
      <c r="J6" s="30">
        <v>50.765025609978693</v>
      </c>
      <c r="K6" s="31">
        <v>6.1726576040748506</v>
      </c>
      <c r="M6" s="63" t="s">
        <v>31</v>
      </c>
      <c r="S6" s="64"/>
      <c r="X6" s="4">
        <f>+SUM(X3:X5)</f>
        <v>48</v>
      </c>
      <c r="Y6" s="4">
        <f>+SUM(Y3:Y5)</f>
        <v>5.34</v>
      </c>
      <c r="Z6" s="4">
        <f>+SUM(Z3:Z5)</f>
        <v>6.9</v>
      </c>
    </row>
    <row r="7" spans="2:26" x14ac:dyDescent="0.25">
      <c r="B7" s="27" t="s">
        <v>27</v>
      </c>
      <c r="C7" s="32" t="s">
        <v>30</v>
      </c>
      <c r="D7" s="29">
        <v>0.2226564073871582</v>
      </c>
      <c r="E7" s="29">
        <v>0.13174809195562887</v>
      </c>
      <c r="F7" s="29">
        <v>0.73768919706344604</v>
      </c>
      <c r="G7" s="29">
        <v>9.1623801758595969E-2</v>
      </c>
      <c r="H7" s="29">
        <v>0.64606539530485008</v>
      </c>
      <c r="I7" s="30">
        <v>38.262989619999999</v>
      </c>
      <c r="J7" s="30">
        <v>64.381627486642273</v>
      </c>
      <c r="K7" s="31">
        <v>1.6826083932811697</v>
      </c>
      <c r="M7" s="63"/>
      <c r="S7" s="64"/>
    </row>
    <row r="8" spans="2:26" x14ac:dyDescent="0.25">
      <c r="B8" s="27" t="s">
        <v>32</v>
      </c>
      <c r="C8" s="32" t="s">
        <v>33</v>
      </c>
      <c r="D8" s="29">
        <v>0.13423266499446562</v>
      </c>
      <c r="E8" s="29">
        <v>4.0539220083917638E-2</v>
      </c>
      <c r="F8" s="29">
        <v>0.12489014267921447</v>
      </c>
      <c r="G8" s="29">
        <v>9.9256828677671827E-2</v>
      </c>
      <c r="H8" s="29">
        <v>2.5633314001542645E-2</v>
      </c>
      <c r="I8" s="30">
        <v>19.893386479999997</v>
      </c>
      <c r="J8" s="30">
        <v>23.206476589999998</v>
      </c>
      <c r="K8" s="31">
        <v>1.1665422884801864</v>
      </c>
      <c r="M8" s="63" t="s">
        <v>35</v>
      </c>
      <c r="S8" s="64"/>
      <c r="X8" s="4" t="s">
        <v>193</v>
      </c>
      <c r="Y8" s="4" t="s">
        <v>17</v>
      </c>
      <c r="Z8" s="4" t="s">
        <v>195</v>
      </c>
    </row>
    <row r="9" spans="2:26" x14ac:dyDescent="0.25">
      <c r="B9" s="27" t="s">
        <v>32</v>
      </c>
      <c r="C9" s="32" t="s">
        <v>34</v>
      </c>
      <c r="D9" s="29">
        <v>0.11510468760110704</v>
      </c>
      <c r="E9" s="29">
        <v>0.33254085951445767</v>
      </c>
      <c r="F9" s="29">
        <v>0.2554356515407562</v>
      </c>
      <c r="G9" s="29">
        <v>9.8977970097500645E-2</v>
      </c>
      <c r="H9" s="29">
        <v>0.15645768144325556</v>
      </c>
      <c r="I9" s="30">
        <v>50.184581140000006</v>
      </c>
      <c r="J9" s="30">
        <v>73.352621427922713</v>
      </c>
      <c r="K9" s="31">
        <v>1.4616565439350939</v>
      </c>
      <c r="M9" s="63" t="s">
        <v>37</v>
      </c>
      <c r="S9" s="64"/>
      <c r="W9" s="4" t="s">
        <v>192</v>
      </c>
      <c r="X9" s="140">
        <f>+X3/X6</f>
        <v>0.35416666666666669</v>
      </c>
      <c r="Y9" s="140">
        <v>0.6</v>
      </c>
      <c r="Z9" s="140">
        <f>+Z3/Z6</f>
        <v>0.31884057971014496</v>
      </c>
    </row>
    <row r="10" spans="2:26" x14ac:dyDescent="0.25">
      <c r="B10" s="27" t="s">
        <v>32</v>
      </c>
      <c r="C10" s="32" t="s">
        <v>36</v>
      </c>
      <c r="D10" s="29">
        <v>0.24681021582217144</v>
      </c>
      <c r="E10" s="29">
        <v>0.31866639603850433</v>
      </c>
      <c r="F10" s="29">
        <v>0.37552904486656191</v>
      </c>
      <c r="G10" s="29">
        <v>8.4690581140356214E-2</v>
      </c>
      <c r="H10" s="29">
        <v>0.2908384637262057</v>
      </c>
      <c r="I10" s="30">
        <v>37.252299500000007</v>
      </c>
      <c r="J10" s="30">
        <v>102.83382453</v>
      </c>
      <c r="K10" s="31">
        <v>2.760469176674583</v>
      </c>
      <c r="M10" s="63" t="s">
        <v>40</v>
      </c>
      <c r="S10" s="64"/>
      <c r="W10" s="4" t="s">
        <v>76</v>
      </c>
      <c r="X10" s="140">
        <f>+X4/X6</f>
        <v>0.45833333333333331</v>
      </c>
      <c r="Y10" s="140">
        <v>0.25</v>
      </c>
      <c r="Z10" s="140">
        <f>+Z4/Z6</f>
        <v>0.39130434782608697</v>
      </c>
    </row>
    <row r="11" spans="2:26" x14ac:dyDescent="0.25">
      <c r="B11" s="27" t="s">
        <v>38</v>
      </c>
      <c r="C11" s="32" t="s">
        <v>39</v>
      </c>
      <c r="D11" s="29">
        <v>0.69618315878422621</v>
      </c>
      <c r="E11" s="29">
        <v>0.65836758892130542</v>
      </c>
      <c r="F11" s="29">
        <v>0.28352633779252967</v>
      </c>
      <c r="G11" s="29">
        <v>0.10697454680619711</v>
      </c>
      <c r="H11" s="29">
        <v>0.17655179098633256</v>
      </c>
      <c r="I11" s="30">
        <v>26.019228999999999</v>
      </c>
      <c r="J11" s="30">
        <v>133.57248720999999</v>
      </c>
      <c r="K11" s="31">
        <v>5.1336066572149379</v>
      </c>
      <c r="M11" s="63" t="s">
        <v>43</v>
      </c>
      <c r="S11" s="64"/>
      <c r="W11" s="4" t="s">
        <v>196</v>
      </c>
      <c r="X11" s="140">
        <f>+X5/X6</f>
        <v>0.1875</v>
      </c>
      <c r="Y11" s="140">
        <v>0.15</v>
      </c>
      <c r="Z11" s="140">
        <f>+Z5/Z6</f>
        <v>0.28985507246376813</v>
      </c>
    </row>
    <row r="12" spans="2:26" x14ac:dyDescent="0.25">
      <c r="B12" s="27" t="s">
        <v>41</v>
      </c>
      <c r="C12" s="32" t="s">
        <v>42</v>
      </c>
      <c r="D12" s="29">
        <v>8.4911189587516311E-2</v>
      </c>
      <c r="E12" s="29">
        <v>0.86457729596654742</v>
      </c>
      <c r="F12" s="29">
        <v>0.1195705235004425</v>
      </c>
      <c r="G12" s="29">
        <v>9.880502097704924E-2</v>
      </c>
      <c r="H12" s="29">
        <v>2.0765502523393264E-2</v>
      </c>
      <c r="I12" s="30">
        <v>71.026252049999997</v>
      </c>
      <c r="J12" s="30">
        <v>86.545326240000009</v>
      </c>
      <c r="K12" s="31">
        <v>1.2184977208015302</v>
      </c>
      <c r="M12" s="63"/>
      <c r="S12" s="64"/>
    </row>
    <row r="13" spans="2:26" x14ac:dyDescent="0.25">
      <c r="B13" s="27" t="s">
        <v>41</v>
      </c>
      <c r="C13" s="32" t="s">
        <v>44</v>
      </c>
      <c r="D13" s="135" t="s">
        <v>189</v>
      </c>
      <c r="E13" s="135" t="s">
        <v>189</v>
      </c>
      <c r="F13" s="29">
        <v>30.026882743835451</v>
      </c>
      <c r="G13" s="29">
        <v>8.3282913396016678E-2</v>
      </c>
      <c r="H13" s="29">
        <v>29.943599830439435</v>
      </c>
      <c r="I13" s="30">
        <v>113.36201461</v>
      </c>
      <c r="J13" s="30">
        <v>611.55397233999986</v>
      </c>
      <c r="K13" s="31">
        <v>5.3946992248147021</v>
      </c>
      <c r="M13" s="63" t="s">
        <v>47</v>
      </c>
      <c r="S13" s="64"/>
    </row>
    <row r="14" spans="2:26" x14ac:dyDescent="0.25">
      <c r="B14" s="33" t="s">
        <v>45</v>
      </c>
      <c r="C14" s="32" t="s">
        <v>46</v>
      </c>
      <c r="D14" s="29">
        <v>1.9492345550883305E-2</v>
      </c>
      <c r="E14" s="29">
        <v>0.13397832613720517</v>
      </c>
      <c r="F14" s="29">
        <v>2.1981509923934937</v>
      </c>
      <c r="G14" s="29">
        <v>8.9571247305158419E-2</v>
      </c>
      <c r="H14" s="29">
        <v>2.1085797450883352</v>
      </c>
      <c r="I14" s="30">
        <v>34.984980419999992</v>
      </c>
      <c r="J14" s="30">
        <v>55.926932720000003</v>
      </c>
      <c r="K14" s="31">
        <v>1.5985983713178826</v>
      </c>
      <c r="M14" s="63" t="s">
        <v>50</v>
      </c>
      <c r="S14" s="64"/>
    </row>
    <row r="15" spans="2:26" x14ac:dyDescent="0.25">
      <c r="B15" s="27" t="s">
        <v>48</v>
      </c>
      <c r="C15" s="32" t="s">
        <v>49</v>
      </c>
      <c r="D15" s="29">
        <v>-4.0036612256236004E-2</v>
      </c>
      <c r="E15" s="29">
        <v>7.2991003400769694E-2</v>
      </c>
      <c r="F15" s="29">
        <v>-0.26876660455018286</v>
      </c>
      <c r="G15" s="29">
        <v>6.4748330271877208E-2</v>
      </c>
      <c r="H15" s="29">
        <v>-0.33351493482206007</v>
      </c>
      <c r="I15" s="30">
        <v>80.564177360000016</v>
      </c>
      <c r="J15" s="30">
        <v>34.253253360000002</v>
      </c>
      <c r="K15" s="31">
        <v>0.42516729497453648</v>
      </c>
      <c r="M15" s="63"/>
      <c r="S15" s="64"/>
    </row>
    <row r="16" spans="2:26" x14ac:dyDescent="0.25">
      <c r="B16" s="27" t="s">
        <v>51</v>
      </c>
      <c r="C16" s="32" t="s">
        <v>52</v>
      </c>
      <c r="D16" s="29">
        <v>-8.8809107465763759E-3</v>
      </c>
      <c r="E16" s="29">
        <v>0.13206343659015807</v>
      </c>
      <c r="F16" s="29">
        <v>0.35948062539100656</v>
      </c>
      <c r="G16" s="29">
        <v>2.4941247252882048E-2</v>
      </c>
      <c r="H16" s="29">
        <v>0.33453937813812451</v>
      </c>
      <c r="I16" s="30">
        <v>22.055269599999995</v>
      </c>
      <c r="J16" s="30">
        <v>35.973013489999992</v>
      </c>
      <c r="K16" s="31">
        <v>1.6310393906950928</v>
      </c>
      <c r="M16" s="63" t="s">
        <v>101</v>
      </c>
      <c r="S16" s="64"/>
    </row>
    <row r="17" spans="2:19" x14ac:dyDescent="0.25">
      <c r="B17" s="27" t="s">
        <v>53</v>
      </c>
      <c r="C17" s="32" t="s">
        <v>54</v>
      </c>
      <c r="D17" s="29">
        <v>0.1536167408258593</v>
      </c>
      <c r="E17" s="29">
        <v>-0.13727231529875716</v>
      </c>
      <c r="F17" s="29">
        <v>0.13745095133781432</v>
      </c>
      <c r="G17" s="29">
        <v>6.1538981531145343E-2</v>
      </c>
      <c r="H17" s="29">
        <v>7.5911969806668977E-2</v>
      </c>
      <c r="I17" s="30">
        <v>53.560134099999985</v>
      </c>
      <c r="J17" s="30">
        <v>73.476142787394693</v>
      </c>
      <c r="K17" s="31">
        <v>1.3718438913952367</v>
      </c>
      <c r="M17" s="63" t="s">
        <v>102</v>
      </c>
      <c r="S17" s="64"/>
    </row>
    <row r="18" spans="2:19" x14ac:dyDescent="0.25">
      <c r="B18" s="33" t="s">
        <v>56</v>
      </c>
      <c r="C18" s="32" t="s">
        <v>57</v>
      </c>
      <c r="D18" s="29">
        <v>0.16698658945508282</v>
      </c>
      <c r="E18" s="29">
        <v>0.25533496600046512</v>
      </c>
      <c r="F18" s="29">
        <v>0.3972439467906953</v>
      </c>
      <c r="G18" s="29">
        <v>0.23945420144575413</v>
      </c>
      <c r="H18" s="29">
        <v>0.15778974534494117</v>
      </c>
      <c r="I18" s="30">
        <v>42.823007880000006</v>
      </c>
      <c r="J18" s="30">
        <v>63.44067556000001</v>
      </c>
      <c r="K18" s="31">
        <v>1.4814623890450547</v>
      </c>
      <c r="M18" s="63"/>
      <c r="S18" s="64"/>
    </row>
    <row r="19" spans="2:19" x14ac:dyDescent="0.25">
      <c r="B19" s="27" t="s">
        <v>59</v>
      </c>
      <c r="C19" s="32" t="s">
        <v>60</v>
      </c>
      <c r="D19" s="29">
        <v>-1.1039448516274475E-2</v>
      </c>
      <c r="E19" s="29">
        <v>0.19653622380897628</v>
      </c>
      <c r="F19" s="29">
        <v>0.48660479187965389</v>
      </c>
      <c r="G19" s="29">
        <v>5.2085279736608481E-2</v>
      </c>
      <c r="H19" s="29">
        <v>0.43451951214304541</v>
      </c>
      <c r="I19" s="30">
        <v>16.935065959999999</v>
      </c>
      <c r="J19" s="30">
        <v>27.499554082618854</v>
      </c>
      <c r="K19" s="31">
        <v>1.6238232639643557</v>
      </c>
      <c r="M19" s="63" t="s">
        <v>103</v>
      </c>
      <c r="S19" s="64"/>
    </row>
    <row r="20" spans="2:19" x14ac:dyDescent="0.25">
      <c r="B20" s="27" t="s">
        <v>61</v>
      </c>
      <c r="C20" s="32" t="s">
        <v>62</v>
      </c>
      <c r="D20" s="29">
        <v>-2.8034009395288773E-2</v>
      </c>
      <c r="E20" s="29">
        <v>6.3110414646957658E-2</v>
      </c>
      <c r="F20" s="29">
        <v>0.80171412229537986</v>
      </c>
      <c r="G20" s="29">
        <v>-1.5826921221580026E-3</v>
      </c>
      <c r="H20" s="29">
        <v>0.80329681441753786</v>
      </c>
      <c r="I20" s="30">
        <v>20.69832791</v>
      </c>
      <c r="J20" s="30">
        <v>36.165627381336769</v>
      </c>
      <c r="K20" s="31">
        <v>1.7472728975302416</v>
      </c>
      <c r="M20" s="63" t="s">
        <v>121</v>
      </c>
      <c r="S20" s="64"/>
    </row>
    <row r="21" spans="2:19" x14ac:dyDescent="0.25">
      <c r="B21" s="32"/>
      <c r="C21" s="34" t="s">
        <v>64</v>
      </c>
      <c r="D21" s="136">
        <v>0.12447410847525849</v>
      </c>
      <c r="E21" s="136">
        <v>0.21700430664161643</v>
      </c>
      <c r="F21" s="35">
        <v>2.1846231393348097</v>
      </c>
      <c r="G21" s="35">
        <v>8.4992119698127713E-2</v>
      </c>
      <c r="H21" s="35">
        <v>2.0996310196366816</v>
      </c>
      <c r="I21" s="36">
        <v>45.078892005882352</v>
      </c>
      <c r="J21" s="36">
        <v>98.489559726253233</v>
      </c>
      <c r="K21" s="37">
        <v>2.1848265417304691</v>
      </c>
      <c r="M21" s="65"/>
      <c r="N21" s="66"/>
      <c r="O21" s="67"/>
      <c r="R21" s="19"/>
      <c r="S21" s="68"/>
    </row>
    <row r="22" spans="2:19" x14ac:dyDescent="0.25">
      <c r="B22" s="32"/>
      <c r="C22" s="34" t="s">
        <v>66</v>
      </c>
      <c r="D22" s="136">
        <v>8.8630709075973715E-2</v>
      </c>
      <c r="E22" s="136">
        <v>0.18934906023906595</v>
      </c>
      <c r="F22" s="35">
        <v>4.7225754082334159</v>
      </c>
      <c r="G22" s="35">
        <v>8.7475479079955717E-2</v>
      </c>
      <c r="H22" s="35">
        <v>4.6350999291534603</v>
      </c>
      <c r="I22" s="36">
        <v>766.34116410000001</v>
      </c>
      <c r="J22" s="36">
        <v>1674.322515346305</v>
      </c>
      <c r="K22" s="37">
        <v>2.1848265417304691</v>
      </c>
      <c r="M22" s="63" t="s">
        <v>55</v>
      </c>
      <c r="S22" s="64"/>
    </row>
    <row r="23" spans="2:19" x14ac:dyDescent="0.25">
      <c r="B23" s="32"/>
      <c r="C23" s="38" t="s">
        <v>104</v>
      </c>
      <c r="D23" s="38"/>
      <c r="E23" s="38"/>
      <c r="F23" s="39">
        <v>0.41377145519497899</v>
      </c>
      <c r="G23" s="39">
        <v>8.7475479079955717E-2</v>
      </c>
      <c r="H23" s="39">
        <v>0.32629597611502326</v>
      </c>
      <c r="I23" s="40">
        <v>572.41497213000002</v>
      </c>
      <c r="J23" s="40">
        <v>1028.5152896463053</v>
      </c>
      <c r="K23" s="41">
        <v>1.7968001183112332</v>
      </c>
      <c r="L23" s="19"/>
      <c r="M23" s="63" t="s">
        <v>58</v>
      </c>
      <c r="S23" s="64"/>
    </row>
    <row r="24" spans="2:19" x14ac:dyDescent="0.25">
      <c r="B24" s="32"/>
      <c r="C24" s="38"/>
      <c r="D24" s="38"/>
      <c r="E24" s="38"/>
      <c r="F24" s="39"/>
      <c r="G24" s="39"/>
      <c r="H24" s="39"/>
      <c r="I24" s="40"/>
      <c r="J24" s="40"/>
      <c r="K24" s="41"/>
      <c r="M24" s="63"/>
      <c r="S24" s="64"/>
    </row>
    <row r="25" spans="2:19" x14ac:dyDescent="0.25">
      <c r="B25" s="72"/>
      <c r="C25" s="25"/>
      <c r="D25" s="141" t="s">
        <v>186</v>
      </c>
      <c r="E25" s="142"/>
      <c r="F25" s="25"/>
      <c r="G25" s="25" t="s">
        <v>186</v>
      </c>
      <c r="H25" s="25" t="s">
        <v>105</v>
      </c>
      <c r="I25" s="25"/>
      <c r="J25" s="26"/>
      <c r="K25" s="73"/>
      <c r="M25" s="63" t="s">
        <v>126</v>
      </c>
      <c r="S25" s="64"/>
    </row>
    <row r="26" spans="2:19" x14ac:dyDescent="0.25">
      <c r="B26" s="24" t="s">
        <v>15</v>
      </c>
      <c r="C26" s="42" t="s">
        <v>67</v>
      </c>
      <c r="D26" s="42" t="s">
        <v>190</v>
      </c>
      <c r="E26" s="42" t="s">
        <v>191</v>
      </c>
      <c r="F26" s="43" t="s">
        <v>17</v>
      </c>
      <c r="G26" s="43" t="s">
        <v>18</v>
      </c>
      <c r="H26" s="43" t="s">
        <v>106</v>
      </c>
      <c r="I26" s="43" t="s">
        <v>19</v>
      </c>
      <c r="J26" s="43" t="s">
        <v>20</v>
      </c>
      <c r="K26" s="43" t="s">
        <v>21</v>
      </c>
      <c r="M26" s="63" t="s">
        <v>127</v>
      </c>
      <c r="S26" s="64"/>
    </row>
    <row r="27" spans="2:19" x14ac:dyDescent="0.25">
      <c r="B27" s="44" t="s">
        <v>68</v>
      </c>
      <c r="C27" s="45" t="s">
        <v>81</v>
      </c>
      <c r="D27" s="46">
        <v>4.2040698379303354E-2</v>
      </c>
      <c r="E27" s="46">
        <v>0.43635195636479285</v>
      </c>
      <c r="F27" s="46">
        <v>0.11202277541160585</v>
      </c>
      <c r="G27" s="46">
        <v>6.6000000000000003E-2</v>
      </c>
      <c r="H27" s="46">
        <v>4.6022775411605849E-2</v>
      </c>
      <c r="I27" s="47">
        <v>21.036999999999956</v>
      </c>
      <c r="J27" s="47">
        <v>61.72452513013733</v>
      </c>
      <c r="K27" s="48">
        <v>2.9340935081113018</v>
      </c>
      <c r="M27" s="63"/>
      <c r="S27" s="64"/>
    </row>
    <row r="28" spans="2:19" x14ac:dyDescent="0.25">
      <c r="B28" s="44" t="s">
        <v>69</v>
      </c>
      <c r="C28" s="45" t="s">
        <v>82</v>
      </c>
      <c r="D28" s="46">
        <v>2.1430682598139628E-2</v>
      </c>
      <c r="E28" s="46">
        <v>0.24087067117626759</v>
      </c>
      <c r="F28" s="46">
        <v>0.80994778871536233</v>
      </c>
      <c r="G28" s="46">
        <v>0.13266982007777828</v>
      </c>
      <c r="H28" s="46">
        <v>0.67727796863758405</v>
      </c>
      <c r="I28" s="47">
        <v>92.52</v>
      </c>
      <c r="J28" s="47">
        <v>364.28938000000005</v>
      </c>
      <c r="K28" s="48">
        <v>3.9374122351923915</v>
      </c>
      <c r="M28" s="63" t="s">
        <v>63</v>
      </c>
      <c r="S28" s="64"/>
    </row>
    <row r="29" spans="2:19" x14ac:dyDescent="0.25">
      <c r="B29" s="44" t="s">
        <v>68</v>
      </c>
      <c r="C29" s="45" t="s">
        <v>83</v>
      </c>
      <c r="D29" s="46">
        <v>0.24215723474802076</v>
      </c>
      <c r="E29" s="46">
        <v>0.13197627525848965</v>
      </c>
      <c r="F29" s="46">
        <v>0.2973152458667756</v>
      </c>
      <c r="G29" s="46">
        <v>8.2232223629702617E-2</v>
      </c>
      <c r="H29" s="46">
        <v>0.21508302223707298</v>
      </c>
      <c r="I29" s="47">
        <v>30</v>
      </c>
      <c r="J29" s="47">
        <v>133.29627310751499</v>
      </c>
      <c r="K29" s="48">
        <v>4.4432091035838326</v>
      </c>
      <c r="M29" s="69" t="s">
        <v>65</v>
      </c>
      <c r="N29" s="70"/>
      <c r="O29" s="70"/>
      <c r="P29" s="70"/>
      <c r="Q29" s="70"/>
      <c r="R29" s="70"/>
      <c r="S29" s="71"/>
    </row>
    <row r="30" spans="2:19" x14ac:dyDescent="0.25">
      <c r="B30" s="44" t="s">
        <v>70</v>
      </c>
      <c r="C30" s="45" t="s">
        <v>52</v>
      </c>
      <c r="D30" s="46">
        <v>6.8808809760947831E-2</v>
      </c>
      <c r="E30" s="46">
        <v>0.41553504459361612</v>
      </c>
      <c r="F30" s="46">
        <v>0.93921447992324825</v>
      </c>
      <c r="G30" s="46">
        <v>0.21613629213294594</v>
      </c>
      <c r="H30" s="46">
        <v>0.72307818779030231</v>
      </c>
      <c r="I30" s="47">
        <v>85.154100853953992</v>
      </c>
      <c r="J30" s="47">
        <v>466.50057400000003</v>
      </c>
      <c r="K30" s="48">
        <v>5.4783101379942387</v>
      </c>
    </row>
    <row r="31" spans="2:19" x14ac:dyDescent="0.25">
      <c r="B31" s="44" t="s">
        <v>71</v>
      </c>
      <c r="C31" s="45" t="s">
        <v>84</v>
      </c>
      <c r="D31" s="46">
        <v>1.0787543115664988E-2</v>
      </c>
      <c r="E31" s="46">
        <v>0.13811360183928056</v>
      </c>
      <c r="F31" s="46">
        <v>0.32264828085899355</v>
      </c>
      <c r="G31" s="46">
        <v>0.17095753449361273</v>
      </c>
      <c r="H31" s="46">
        <v>0.15169074636538082</v>
      </c>
      <c r="I31" s="47">
        <v>447.98686099999998</v>
      </c>
      <c r="J31" s="47">
        <v>701.9731104</v>
      </c>
      <c r="K31" s="48">
        <v>1.5669502199976353</v>
      </c>
    </row>
    <row r="32" spans="2:19" x14ac:dyDescent="0.25">
      <c r="B32" s="44" t="s">
        <v>72</v>
      </c>
      <c r="C32" s="45" t="s">
        <v>85</v>
      </c>
      <c r="D32" s="46">
        <v>-5.269022578236171E-2</v>
      </c>
      <c r="E32" s="46">
        <v>0.12859969535791782</v>
      </c>
      <c r="F32" s="46">
        <v>0.31585792899131782</v>
      </c>
      <c r="G32" s="46">
        <v>0.1267406565830409</v>
      </c>
      <c r="H32" s="46">
        <v>0.18911727240827692</v>
      </c>
      <c r="I32" s="47">
        <v>36.747744960000006</v>
      </c>
      <c r="J32" s="47">
        <v>185.86974995000003</v>
      </c>
      <c r="K32" s="48">
        <v>5.0579906373117485</v>
      </c>
    </row>
    <row r="33" spans="2:35" x14ac:dyDescent="0.25">
      <c r="B33" s="49" t="s">
        <v>69</v>
      </c>
      <c r="C33" s="45" t="s">
        <v>62</v>
      </c>
      <c r="D33" s="46">
        <v>4.5345486127461143E-2</v>
      </c>
      <c r="E33" s="46">
        <v>0.32645122102120605</v>
      </c>
      <c r="F33" s="46">
        <v>0.12808825373649593</v>
      </c>
      <c r="G33" s="46">
        <v>0.124175895669423</v>
      </c>
      <c r="H33" s="46">
        <v>3.9123580670729352E-3</v>
      </c>
      <c r="I33" s="47">
        <v>128.11688075000001</v>
      </c>
      <c r="J33" s="47">
        <v>170.05515584400001</v>
      </c>
      <c r="K33" s="48">
        <v>1.327343866385851</v>
      </c>
    </row>
    <row r="34" spans="2:35" x14ac:dyDescent="0.25">
      <c r="B34" s="44" t="s">
        <v>72</v>
      </c>
      <c r="C34" s="45" t="s">
        <v>86</v>
      </c>
      <c r="D34" s="46">
        <v>-0.1591035847462855</v>
      </c>
      <c r="E34" s="46">
        <v>-7.5926104778429204E-2</v>
      </c>
      <c r="F34" s="46">
        <v>0.16114621758461004</v>
      </c>
      <c r="G34" s="46">
        <v>0.134112379204816</v>
      </c>
      <c r="H34" s="46">
        <v>2.7033838379794034E-2</v>
      </c>
      <c r="I34" s="47">
        <v>142</v>
      </c>
      <c r="J34" s="47">
        <v>214.06895399999999</v>
      </c>
      <c r="K34" s="48">
        <v>1.5075278450704224</v>
      </c>
    </row>
    <row r="35" spans="2:35" x14ac:dyDescent="0.25">
      <c r="B35" s="44" t="s">
        <v>72</v>
      </c>
      <c r="C35" s="45" t="s">
        <v>87</v>
      </c>
      <c r="D35" s="46">
        <v>0.41976121988936232</v>
      </c>
      <c r="E35" s="46">
        <v>1.2518715612510185</v>
      </c>
      <c r="F35" s="46">
        <v>0.42776139378547673</v>
      </c>
      <c r="G35" s="46">
        <v>0.13897165643977938</v>
      </c>
      <c r="H35" s="46">
        <v>0.28878973734569735</v>
      </c>
      <c r="I35" s="47">
        <v>50.332073640000004</v>
      </c>
      <c r="J35" s="47">
        <v>101.985876</v>
      </c>
      <c r="K35" s="48">
        <v>2.0262601682071288</v>
      </c>
    </row>
    <row r="36" spans="2:35" x14ac:dyDescent="0.25">
      <c r="B36" s="44" t="s">
        <v>68</v>
      </c>
      <c r="C36" s="45" t="s">
        <v>88</v>
      </c>
      <c r="D36" s="46">
        <v>1.0589241364785176</v>
      </c>
      <c r="E36" s="46">
        <v>2.382616249121853</v>
      </c>
      <c r="F36" s="46">
        <v>1.078595173358917</v>
      </c>
      <c r="G36" s="46">
        <v>4.1846624117082731E-2</v>
      </c>
      <c r="H36" s="46">
        <v>1.0367485492418342</v>
      </c>
      <c r="I36" s="47">
        <v>29.675999999999998</v>
      </c>
      <c r="J36" s="47">
        <v>836.39</v>
      </c>
      <c r="K36" s="48">
        <v>28.184054454778273</v>
      </c>
    </row>
    <row r="37" spans="2:35" x14ac:dyDescent="0.25">
      <c r="B37" s="44" t="s">
        <v>68</v>
      </c>
      <c r="C37" s="45" t="s">
        <v>89</v>
      </c>
      <c r="D37" s="46">
        <v>0.18821282561320274</v>
      </c>
      <c r="E37" s="46">
        <v>0.40325824724518733</v>
      </c>
      <c r="F37" s="46">
        <v>0.29446503520011913</v>
      </c>
      <c r="G37" s="46">
        <v>7.6568390051913404E-2</v>
      </c>
      <c r="H37" s="46">
        <v>0.21789664514820573</v>
      </c>
      <c r="I37" s="47">
        <v>70.33</v>
      </c>
      <c r="J37" s="47">
        <v>385.73595999999998</v>
      </c>
      <c r="K37" s="48">
        <v>5.4846574719181005</v>
      </c>
    </row>
    <row r="38" spans="2:35" x14ac:dyDescent="0.25">
      <c r="B38" s="49" t="s">
        <v>73</v>
      </c>
      <c r="C38" s="45" t="s">
        <v>90</v>
      </c>
      <c r="D38" s="46">
        <v>1.0000000000000001E-5</v>
      </c>
      <c r="E38" s="46">
        <v>1.0000000000000001E-5</v>
      </c>
      <c r="F38" s="46">
        <v>-0.51404784052136077</v>
      </c>
      <c r="G38" s="46">
        <v>7.85E-2</v>
      </c>
      <c r="H38" s="46">
        <v>-0.59254784052136078</v>
      </c>
      <c r="I38" s="47">
        <v>96</v>
      </c>
      <c r="J38" s="47">
        <v>30</v>
      </c>
      <c r="K38" s="48">
        <v>0.3125</v>
      </c>
    </row>
    <row r="39" spans="2:35" x14ac:dyDescent="0.25">
      <c r="B39" s="44" t="s">
        <v>74</v>
      </c>
      <c r="C39" s="45" t="s">
        <v>91</v>
      </c>
      <c r="D39" s="46">
        <v>2.8062140488541942E-2</v>
      </c>
      <c r="E39" s="46">
        <v>7.9625706745938274E-2</v>
      </c>
      <c r="F39" s="46">
        <v>7.224304723739623</v>
      </c>
      <c r="G39" s="46">
        <v>0.26650000000000001</v>
      </c>
      <c r="H39" s="46">
        <v>6.9578047237396232</v>
      </c>
      <c r="I39" s="47">
        <v>88.396305999999996</v>
      </c>
      <c r="J39" s="47">
        <v>269.71939991999994</v>
      </c>
      <c r="K39" s="48">
        <v>3.0512519371567399</v>
      </c>
      <c r="AI39" s="4">
        <v>17</v>
      </c>
    </row>
    <row r="40" spans="2:35" x14ac:dyDescent="0.25">
      <c r="B40" s="44" t="s">
        <v>75</v>
      </c>
      <c r="C40" s="45" t="s">
        <v>92</v>
      </c>
      <c r="D40" s="46">
        <v>1.0000000000000001E-5</v>
      </c>
      <c r="E40" s="46">
        <v>1.0000000000000001E-5</v>
      </c>
      <c r="F40" s="46">
        <v>1.1109811190850198</v>
      </c>
      <c r="G40" s="46">
        <v>0.1648</v>
      </c>
      <c r="H40" s="46">
        <v>0.94618111908501978</v>
      </c>
      <c r="I40" s="47">
        <v>115</v>
      </c>
      <c r="J40" s="47">
        <v>157</v>
      </c>
      <c r="K40" s="48">
        <v>1.3652173913043477</v>
      </c>
    </row>
    <row r="41" spans="2:35" x14ac:dyDescent="0.25">
      <c r="B41" s="44" t="s">
        <v>76</v>
      </c>
      <c r="C41" s="45" t="s">
        <v>93</v>
      </c>
      <c r="D41" s="46">
        <v>0.1240813940464911</v>
      </c>
      <c r="E41" s="46">
        <v>0.10986495514426697</v>
      </c>
      <c r="F41" s="46">
        <v>0.33673791289329535</v>
      </c>
      <c r="G41" s="46">
        <v>0.12285641546393289</v>
      </c>
      <c r="H41" s="46">
        <v>0.21388149742936247</v>
      </c>
      <c r="I41" s="47">
        <v>312.72699999999998</v>
      </c>
      <c r="J41" s="47">
        <v>2614.2967417188092</v>
      </c>
      <c r="K41" s="48">
        <v>8.3596771040518068</v>
      </c>
    </row>
    <row r="42" spans="2:35" x14ac:dyDescent="0.25">
      <c r="B42" s="44" t="s">
        <v>77</v>
      </c>
      <c r="C42" s="45" t="s">
        <v>94</v>
      </c>
      <c r="D42" s="46">
        <v>-3.3333754402194993E-2</v>
      </c>
      <c r="E42" s="46">
        <v>-5.3586460477795583E-2</v>
      </c>
      <c r="F42" s="46">
        <v>0.25300757288932807</v>
      </c>
      <c r="G42" s="46">
        <v>0.13049498795981629</v>
      </c>
      <c r="H42" s="46">
        <v>0.12251258492951178</v>
      </c>
      <c r="I42" s="47">
        <v>848.995</v>
      </c>
      <c r="J42" s="47">
        <v>1942.332703</v>
      </c>
      <c r="K42" s="48">
        <v>2.2878022874104089</v>
      </c>
    </row>
    <row r="43" spans="2:35" x14ac:dyDescent="0.25">
      <c r="B43" s="44" t="s">
        <v>75</v>
      </c>
      <c r="C43" s="45" t="s">
        <v>95</v>
      </c>
      <c r="D43" s="46">
        <v>7.1836018579696903E-2</v>
      </c>
      <c r="E43" s="46">
        <v>1.4502421048001031</v>
      </c>
      <c r="F43" s="46">
        <v>0.51915968060493456</v>
      </c>
      <c r="G43" s="46">
        <v>0.28890492945668433</v>
      </c>
      <c r="H43" s="46">
        <v>0.23025475114825023</v>
      </c>
      <c r="I43" s="47">
        <v>70.608000000000004</v>
      </c>
      <c r="J43" s="47">
        <v>213.12843799999999</v>
      </c>
      <c r="K43" s="48">
        <v>3.0184743655109902</v>
      </c>
    </row>
    <row r="44" spans="2:35" x14ac:dyDescent="0.25">
      <c r="B44" s="44" t="s">
        <v>78</v>
      </c>
      <c r="C44" s="45" t="s">
        <v>96</v>
      </c>
      <c r="D44" s="46">
        <v>0.19752773737667884</v>
      </c>
      <c r="E44" s="46">
        <v>0.16328733985729738</v>
      </c>
      <c r="F44" s="46">
        <v>0.17693380713462828</v>
      </c>
      <c r="G44" s="46">
        <v>9.6612037230149994E-2</v>
      </c>
      <c r="H44" s="46">
        <v>8.0321769904478285E-2</v>
      </c>
      <c r="I44" s="47">
        <v>109.59928327058617</v>
      </c>
      <c r="J44" s="47">
        <v>226.75604683686856</v>
      </c>
      <c r="K44" s="48">
        <v>2.0689555631220489</v>
      </c>
    </row>
    <row r="45" spans="2:35" x14ac:dyDescent="0.25">
      <c r="B45" s="49" t="s">
        <v>78</v>
      </c>
      <c r="C45" s="45" t="s">
        <v>97</v>
      </c>
      <c r="D45" s="46">
        <v>2.1019089163214044E-2</v>
      </c>
      <c r="E45" s="46">
        <v>-8.1873747912507344E-2</v>
      </c>
      <c r="F45" s="46">
        <v>8.3549341559410101E-2</v>
      </c>
      <c r="G45" s="46">
        <v>0.12453414787671568</v>
      </c>
      <c r="H45" s="46">
        <v>-4.0984806317305583E-2</v>
      </c>
      <c r="I45" s="47">
        <v>490.32600000000002</v>
      </c>
      <c r="J45" s="47">
        <v>668.48867616237987</v>
      </c>
      <c r="K45" s="48">
        <v>1.3633555556147949</v>
      </c>
    </row>
    <row r="46" spans="2:35" x14ac:dyDescent="0.25">
      <c r="B46" s="44" t="s">
        <v>78</v>
      </c>
      <c r="C46" s="45" t="s">
        <v>98</v>
      </c>
      <c r="D46" s="46">
        <v>6.6335306283315409E-2</v>
      </c>
      <c r="E46" s="46">
        <v>0.11035465587990267</v>
      </c>
      <c r="F46" s="46">
        <v>0.20318048596382143</v>
      </c>
      <c r="G46" s="46">
        <v>0.10881170831559461</v>
      </c>
      <c r="H46" s="46">
        <v>9.436877764822682E-2</v>
      </c>
      <c r="I46" s="47">
        <v>99.006600000000006</v>
      </c>
      <c r="J46" s="47">
        <v>533.57743266960506</v>
      </c>
      <c r="K46" s="48">
        <v>5.3893117496167431</v>
      </c>
    </row>
    <row r="47" spans="2:35" x14ac:dyDescent="0.25">
      <c r="B47" s="44" t="s">
        <v>79</v>
      </c>
      <c r="C47" s="45" t="s">
        <v>99</v>
      </c>
      <c r="D47" s="46">
        <v>0.24</v>
      </c>
      <c r="E47" s="46">
        <v>1.58</v>
      </c>
      <c r="F47" s="46">
        <v>0.73801332244322482</v>
      </c>
      <c r="G47" s="46">
        <v>0.27782674098735738</v>
      </c>
      <c r="H47" s="46">
        <v>0.46018658145586744</v>
      </c>
      <c r="I47" s="47">
        <v>120</v>
      </c>
      <c r="J47" s="47">
        <v>630</v>
      </c>
      <c r="K47" s="48">
        <v>5.25</v>
      </c>
    </row>
    <row r="48" spans="2:35" ht="17.25" x14ac:dyDescent="0.4">
      <c r="B48" s="44" t="s">
        <v>80</v>
      </c>
      <c r="C48" s="50" t="s">
        <v>100</v>
      </c>
      <c r="D48" s="74">
        <v>-0.115431858794388</v>
      </c>
      <c r="E48" s="74">
        <v>-0.3360884607001684</v>
      </c>
      <c r="F48" s="51">
        <v>-5.4039356086449275E-2</v>
      </c>
      <c r="G48" s="51">
        <v>0.13475471749072665</v>
      </c>
      <c r="H48" s="74">
        <v>-0.18879407357717592</v>
      </c>
      <c r="I48" s="52">
        <v>684.35299999999995</v>
      </c>
      <c r="J48" s="52">
        <v>392.65475199999997</v>
      </c>
      <c r="K48" s="53">
        <v>0.57376054755367478</v>
      </c>
      <c r="Q48"/>
      <c r="R48"/>
      <c r="S48"/>
    </row>
    <row r="49" spans="2:11" x14ac:dyDescent="0.25">
      <c r="B49" s="54"/>
      <c r="C49" s="55" t="s">
        <v>64</v>
      </c>
      <c r="D49" s="56">
        <v>1.7816730882439159E-2</v>
      </c>
      <c r="E49" s="56">
        <v>9.0455581018071191E-2</v>
      </c>
      <c r="F49" s="56">
        <v>0.68022015196083607</v>
      </c>
      <c r="G49" s="56">
        <v>0.14113668896277609</v>
      </c>
      <c r="H49" s="56">
        <v>0.53908346299805998</v>
      </c>
      <c r="I49" s="57">
        <v>189.4959932033882</v>
      </c>
      <c r="J49" s="57">
        <v>513.62926130633252</v>
      </c>
      <c r="K49" s="58">
        <v>4.3176416431769304</v>
      </c>
    </row>
    <row r="50" spans="2:11" x14ac:dyDescent="0.25">
      <c r="B50" s="54"/>
      <c r="C50" s="55" t="s">
        <v>66</v>
      </c>
      <c r="D50" s="55"/>
      <c r="E50" s="55"/>
      <c r="F50" s="56">
        <v>0.39379990649782048</v>
      </c>
      <c r="G50" s="56">
        <v>0.14200142781507241</v>
      </c>
      <c r="H50" s="56">
        <v>0.25179847868274807</v>
      </c>
      <c r="I50" s="57">
        <v>4168.9118504745402</v>
      </c>
      <c r="J50" s="57">
        <v>11299.843748739315</v>
      </c>
      <c r="K50" s="59">
        <v>2.7105019616697037</v>
      </c>
    </row>
    <row r="51" spans="2:11" x14ac:dyDescent="0.25">
      <c r="B51" s="4" t="s">
        <v>112</v>
      </c>
    </row>
    <row r="52" spans="2:11" x14ac:dyDescent="0.25">
      <c r="B52" s="4" t="s">
        <v>113</v>
      </c>
    </row>
    <row r="53" spans="2:11" x14ac:dyDescent="0.25">
      <c r="B53" s="4" t="s">
        <v>114</v>
      </c>
    </row>
  </sheetData>
  <mergeCells count="2">
    <mergeCell ref="D25:E25"/>
    <mergeCell ref="D2:E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8AC22-0D09-4FDC-9E43-AE8BE339480E}">
  <dimension ref="B3:U50"/>
  <sheetViews>
    <sheetView workbookViewId="0">
      <selection activeCell="F22" sqref="F22"/>
    </sheetView>
  </sheetViews>
  <sheetFormatPr defaultRowHeight="15" x14ac:dyDescent="0.25"/>
  <cols>
    <col min="2" max="2" width="9.42578125" bestFit="1" customWidth="1"/>
    <col min="4" max="5" width="7" bestFit="1" customWidth="1"/>
    <col min="6" max="6" width="9" bestFit="1" customWidth="1"/>
    <col min="8" max="8" width="14.5703125" bestFit="1" customWidth="1"/>
    <col min="12" max="12" width="12" bestFit="1" customWidth="1"/>
    <col min="13" max="13" width="13.28515625" bestFit="1" customWidth="1"/>
    <col min="14" max="14" width="9.28515625" bestFit="1" customWidth="1"/>
    <col min="15" max="15" width="13.28515625" bestFit="1" customWidth="1"/>
    <col min="18" max="18" width="14.42578125" bestFit="1" customWidth="1"/>
    <col min="19" max="19" width="14.5703125" bestFit="1" customWidth="1"/>
  </cols>
  <sheetData>
    <row r="3" spans="2:21" x14ac:dyDescent="0.25">
      <c r="B3" s="72"/>
      <c r="C3" s="25"/>
      <c r="D3" s="25" t="s">
        <v>186</v>
      </c>
      <c r="E3" s="25"/>
      <c r="F3" s="25"/>
      <c r="G3" s="25" t="s">
        <v>105</v>
      </c>
      <c r="H3" s="25" t="s">
        <v>105</v>
      </c>
      <c r="I3" s="25"/>
      <c r="J3" s="26"/>
      <c r="K3" s="73"/>
      <c r="R3" t="s">
        <v>154</v>
      </c>
      <c r="T3" t="s">
        <v>155</v>
      </c>
    </row>
    <row r="4" spans="2:21" x14ac:dyDescent="0.25">
      <c r="B4" s="24" t="s">
        <v>15</v>
      </c>
      <c r="C4" s="24" t="s">
        <v>16</v>
      </c>
      <c r="D4" s="24" t="s">
        <v>154</v>
      </c>
      <c r="E4" s="24" t="s">
        <v>155</v>
      </c>
      <c r="F4" s="25" t="s">
        <v>17</v>
      </c>
      <c r="G4" s="26" t="s">
        <v>18</v>
      </c>
      <c r="H4" s="26" t="s">
        <v>106</v>
      </c>
      <c r="I4" s="25" t="s">
        <v>19</v>
      </c>
      <c r="J4" s="25" t="s">
        <v>20</v>
      </c>
      <c r="K4" s="25" t="s">
        <v>21</v>
      </c>
      <c r="L4" s="25" t="s">
        <v>128</v>
      </c>
      <c r="M4" s="25" t="s">
        <v>123</v>
      </c>
      <c r="N4" s="25" t="s">
        <v>124</v>
      </c>
      <c r="O4" s="25" t="s">
        <v>125</v>
      </c>
      <c r="R4" s="25" t="s">
        <v>187</v>
      </c>
      <c r="S4" s="25" t="s">
        <v>188</v>
      </c>
      <c r="T4" s="25" t="s">
        <v>187</v>
      </c>
      <c r="U4" s="25" t="s">
        <v>188</v>
      </c>
    </row>
    <row r="5" spans="2:21" x14ac:dyDescent="0.25">
      <c r="B5" s="27" t="s">
        <v>22</v>
      </c>
      <c r="C5" s="28" t="s">
        <v>23</v>
      </c>
      <c r="D5" s="29">
        <f>+[1]Sheet2!$E$74</f>
        <v>0.13329527695539412</v>
      </c>
      <c r="E5" s="29">
        <f>+[1]Sheet2!$F$74</f>
        <v>0.18407068182757103</v>
      </c>
      <c r="F5" s="29">
        <v>0.34859419465065</v>
      </c>
      <c r="G5" s="29">
        <v>7.6872330909670605E-2</v>
      </c>
      <c r="H5" s="29">
        <v>0.2717218637409794</v>
      </c>
      <c r="I5" s="30">
        <v>53.58427142</v>
      </c>
      <c r="J5" s="30">
        <v>107.0087109441242</v>
      </c>
      <c r="K5" s="31">
        <v>1.9970171863563653</v>
      </c>
      <c r="L5" t="s">
        <v>129</v>
      </c>
      <c r="O5">
        <v>1</v>
      </c>
    </row>
    <row r="6" spans="2:21" x14ac:dyDescent="0.25">
      <c r="B6" s="27" t="s">
        <v>22</v>
      </c>
      <c r="C6" s="32" t="s">
        <v>25</v>
      </c>
      <c r="D6" s="32"/>
      <c r="E6" s="32"/>
      <c r="F6" s="29">
        <v>6.6046836972236636E-2</v>
      </c>
      <c r="G6" s="29">
        <v>7.7811953589021821E-2</v>
      </c>
      <c r="H6" s="29">
        <v>-1.1765116616785185E-2</v>
      </c>
      <c r="I6" s="30">
        <v>76.911000550000011</v>
      </c>
      <c r="J6" s="30">
        <v>94.367243586286975</v>
      </c>
      <c r="K6" s="31">
        <v>1.2269667916352047</v>
      </c>
      <c r="L6" t="s">
        <v>135</v>
      </c>
      <c r="M6">
        <v>1</v>
      </c>
    </row>
    <row r="7" spans="2:21" x14ac:dyDescent="0.25">
      <c r="B7" s="33" t="s">
        <v>27</v>
      </c>
      <c r="C7" s="28" t="s">
        <v>28</v>
      </c>
      <c r="D7" s="28"/>
      <c r="E7" s="28"/>
      <c r="F7" s="29">
        <v>0.68854987025260928</v>
      </c>
      <c r="G7" s="29">
        <v>9.5813492094823483E-2</v>
      </c>
      <c r="H7" s="29">
        <v>0.59273637815778579</v>
      </c>
      <c r="I7" s="30">
        <v>8.2241765000000004</v>
      </c>
      <c r="J7" s="30">
        <v>50.765025609978693</v>
      </c>
      <c r="K7" s="31">
        <v>6.1726576040748506</v>
      </c>
      <c r="L7" t="s">
        <v>130</v>
      </c>
      <c r="O7">
        <v>1</v>
      </c>
    </row>
    <row r="8" spans="2:21" x14ac:dyDescent="0.25">
      <c r="B8" s="27" t="s">
        <v>27</v>
      </c>
      <c r="C8" s="32" t="s">
        <v>30</v>
      </c>
      <c r="D8" s="32"/>
      <c r="E8" s="32"/>
      <c r="F8" s="29">
        <v>0.73768919706344604</v>
      </c>
      <c r="G8" s="29">
        <v>9.1623801758595969E-2</v>
      </c>
      <c r="H8" s="29">
        <v>0.64606539530485008</v>
      </c>
      <c r="I8" s="30">
        <v>38.262989619999999</v>
      </c>
      <c r="J8" s="30">
        <v>64.381627486642273</v>
      </c>
      <c r="K8" s="31">
        <v>1.6826083932811697</v>
      </c>
      <c r="L8" t="s">
        <v>133</v>
      </c>
      <c r="M8">
        <v>1</v>
      </c>
    </row>
    <row r="9" spans="2:21" x14ac:dyDescent="0.25">
      <c r="B9" s="27" t="s">
        <v>32</v>
      </c>
      <c r="C9" s="32" t="s">
        <v>33</v>
      </c>
      <c r="D9" s="32"/>
      <c r="E9" s="32"/>
      <c r="F9" s="29">
        <v>0.12489014267921447</v>
      </c>
      <c r="G9" s="29">
        <v>9.9256828677671827E-2</v>
      </c>
      <c r="H9" s="29">
        <v>2.5633314001542645E-2</v>
      </c>
      <c r="I9" s="30">
        <v>19.893386479999997</v>
      </c>
      <c r="J9" s="30">
        <v>23.206476589999998</v>
      </c>
      <c r="K9" s="31">
        <v>1.1665422884801864</v>
      </c>
      <c r="L9" t="s">
        <v>133</v>
      </c>
      <c r="M9">
        <v>1</v>
      </c>
    </row>
    <row r="10" spans="2:21" x14ac:dyDescent="0.25">
      <c r="B10" s="27" t="s">
        <v>32</v>
      </c>
      <c r="C10" s="32" t="s">
        <v>34</v>
      </c>
      <c r="D10" s="32"/>
      <c r="E10" s="32"/>
      <c r="F10" s="29">
        <v>0.2554356515407562</v>
      </c>
      <c r="G10" s="29">
        <v>9.8977970097500645E-2</v>
      </c>
      <c r="H10" s="29">
        <v>0.15645768144325556</v>
      </c>
      <c r="I10" s="30">
        <v>50.184581140000006</v>
      </c>
      <c r="J10" s="30">
        <v>73.352621427922713</v>
      </c>
      <c r="K10" s="31">
        <v>1.4616565439350939</v>
      </c>
      <c r="L10" t="s">
        <v>131</v>
      </c>
      <c r="M10">
        <v>1</v>
      </c>
    </row>
    <row r="11" spans="2:21" x14ac:dyDescent="0.25">
      <c r="B11" s="27" t="s">
        <v>32</v>
      </c>
      <c r="C11" s="32" t="s">
        <v>36</v>
      </c>
      <c r="D11" s="32"/>
      <c r="E11" s="32"/>
      <c r="F11" s="29">
        <v>0.37552904486656191</v>
      </c>
      <c r="G11" s="29">
        <v>8.4690581140356214E-2</v>
      </c>
      <c r="H11" s="29">
        <v>0.2908384637262057</v>
      </c>
      <c r="I11" s="30">
        <v>37.252299500000007</v>
      </c>
      <c r="J11" s="30">
        <v>102.83382453</v>
      </c>
      <c r="K11" s="31">
        <v>2.760469176674583</v>
      </c>
      <c r="L11" t="s">
        <v>131</v>
      </c>
      <c r="M11">
        <v>1</v>
      </c>
    </row>
    <row r="12" spans="2:21" x14ac:dyDescent="0.25">
      <c r="B12" s="27" t="s">
        <v>38</v>
      </c>
      <c r="C12" s="32" t="s">
        <v>39</v>
      </c>
      <c r="D12" s="32"/>
      <c r="E12" s="32"/>
      <c r="F12" s="29">
        <v>0.28399999999999997</v>
      </c>
      <c r="G12" s="29">
        <v>0.10697454680619711</v>
      </c>
      <c r="H12" s="29">
        <v>0.52666224370779535</v>
      </c>
      <c r="I12" s="30">
        <v>26.019228999999999</v>
      </c>
      <c r="J12" s="30">
        <v>133.57248720999999</v>
      </c>
      <c r="K12" s="31">
        <v>5.1336066572149379</v>
      </c>
      <c r="L12" t="s">
        <v>129</v>
      </c>
      <c r="N12">
        <v>1</v>
      </c>
    </row>
    <row r="13" spans="2:21" x14ac:dyDescent="0.25">
      <c r="B13" s="27" t="s">
        <v>41</v>
      </c>
      <c r="C13" s="32" t="s">
        <v>42</v>
      </c>
      <c r="D13" s="32"/>
      <c r="E13" s="32"/>
      <c r="F13" s="29">
        <v>0.1195705235004425</v>
      </c>
      <c r="G13" s="29">
        <v>9.880502097704924E-2</v>
      </c>
      <c r="H13" s="29">
        <v>2.0765502523393264E-2</v>
      </c>
      <c r="I13" s="30">
        <v>71.026252049999997</v>
      </c>
      <c r="J13" s="30">
        <v>86.545326240000009</v>
      </c>
      <c r="K13" s="31">
        <v>1.2184977208015302</v>
      </c>
      <c r="L13" t="s">
        <v>132</v>
      </c>
      <c r="M13">
        <v>1</v>
      </c>
    </row>
    <row r="14" spans="2:21" x14ac:dyDescent="0.25">
      <c r="B14" s="27" t="s">
        <v>41</v>
      </c>
      <c r="C14" s="32" t="s">
        <v>44</v>
      </c>
      <c r="D14" s="32"/>
      <c r="E14" s="32"/>
      <c r="F14" s="29">
        <v>30.026882743835451</v>
      </c>
      <c r="G14" s="29">
        <v>8.3282913396016678E-2</v>
      </c>
      <c r="H14" s="29">
        <v>29.943599830439435</v>
      </c>
      <c r="I14" s="30">
        <v>113.36201461</v>
      </c>
      <c r="J14" s="30">
        <v>611.55397233999986</v>
      </c>
      <c r="K14" s="31">
        <v>5.3946992248147021</v>
      </c>
      <c r="L14" t="s">
        <v>132</v>
      </c>
      <c r="N14">
        <v>1</v>
      </c>
    </row>
    <row r="15" spans="2:21" x14ac:dyDescent="0.25">
      <c r="B15" s="33" t="s">
        <v>45</v>
      </c>
      <c r="C15" s="32" t="s">
        <v>46</v>
      </c>
      <c r="D15" s="32"/>
      <c r="E15" s="32"/>
      <c r="F15" s="29">
        <v>2.1981509923934937</v>
      </c>
      <c r="G15" s="29">
        <v>8.9571247305158419E-2</v>
      </c>
      <c r="H15" s="29">
        <v>2.1085797450883352</v>
      </c>
      <c r="I15" s="30">
        <v>34.984980419999992</v>
      </c>
      <c r="J15" s="30">
        <v>55.926932720000003</v>
      </c>
      <c r="K15" s="31">
        <v>1.5985983713178826</v>
      </c>
      <c r="L15" t="s">
        <v>129</v>
      </c>
      <c r="O15">
        <v>1</v>
      </c>
    </row>
    <row r="16" spans="2:21" x14ac:dyDescent="0.25">
      <c r="B16" s="27" t="s">
        <v>48</v>
      </c>
      <c r="C16" s="32" t="s">
        <v>49</v>
      </c>
      <c r="D16" s="32"/>
      <c r="E16" s="32"/>
      <c r="F16" s="29">
        <v>-0.26876660455018286</v>
      </c>
      <c r="G16" s="29">
        <v>6.4748330271877208E-2</v>
      </c>
      <c r="H16" s="29">
        <v>-0.33351493482206007</v>
      </c>
      <c r="I16" s="30">
        <v>80.564177360000016</v>
      </c>
      <c r="J16" s="30">
        <v>34.253253360000002</v>
      </c>
      <c r="K16" s="31">
        <v>0.42516729497453648</v>
      </c>
      <c r="L16" t="s">
        <v>133</v>
      </c>
      <c r="M16">
        <v>1</v>
      </c>
    </row>
    <row r="17" spans="2:15" x14ac:dyDescent="0.25">
      <c r="B17" s="27" t="s">
        <v>51</v>
      </c>
      <c r="C17" s="32" t="s">
        <v>52</v>
      </c>
      <c r="D17" s="32"/>
      <c r="E17" s="32"/>
      <c r="F17" s="29">
        <v>0.35948062539100656</v>
      </c>
      <c r="G17" s="29">
        <v>2.4941247252882048E-2</v>
      </c>
      <c r="H17" s="29">
        <v>0.33453937813812451</v>
      </c>
      <c r="I17" s="30">
        <v>22.055269599999995</v>
      </c>
      <c r="J17" s="30">
        <v>35.973013489999992</v>
      </c>
      <c r="K17" s="31">
        <v>1.6310393906950928</v>
      </c>
      <c r="L17" t="s">
        <v>129</v>
      </c>
      <c r="M17">
        <v>1</v>
      </c>
    </row>
    <row r="18" spans="2:15" x14ac:dyDescent="0.25">
      <c r="B18" s="27" t="s">
        <v>53</v>
      </c>
      <c r="C18" s="32" t="s">
        <v>54</v>
      </c>
      <c r="D18" s="32"/>
      <c r="E18" s="32"/>
      <c r="F18" s="29">
        <v>0.13745095133781432</v>
      </c>
      <c r="G18" s="29">
        <v>6.1538981531145343E-2</v>
      </c>
      <c r="H18" s="29">
        <v>7.5911969806668977E-2</v>
      </c>
      <c r="I18" s="30">
        <v>53.560134099999985</v>
      </c>
      <c r="J18" s="30">
        <v>73.476142787394693</v>
      </c>
      <c r="K18" s="31">
        <v>1.3718438913952367</v>
      </c>
      <c r="L18" t="s">
        <v>129</v>
      </c>
      <c r="O18">
        <v>1</v>
      </c>
    </row>
    <row r="19" spans="2:15" x14ac:dyDescent="0.25">
      <c r="B19" s="33" t="s">
        <v>56</v>
      </c>
      <c r="C19" s="32" t="s">
        <v>57</v>
      </c>
      <c r="D19" s="32"/>
      <c r="E19" s="32"/>
      <c r="F19" s="29">
        <v>0.3972439467906953</v>
      </c>
      <c r="G19" s="29">
        <v>0.23945420144575413</v>
      </c>
      <c r="H19" s="29">
        <v>0.15778974534494117</v>
      </c>
      <c r="I19" s="30">
        <v>42.823007880000006</v>
      </c>
      <c r="J19" s="30">
        <v>63.44067556000001</v>
      </c>
      <c r="K19" s="31">
        <v>1.4814623890450547</v>
      </c>
      <c r="L19" t="s">
        <v>129</v>
      </c>
      <c r="M19">
        <v>1</v>
      </c>
    </row>
    <row r="20" spans="2:15" x14ac:dyDescent="0.25">
      <c r="B20" s="27" t="s">
        <v>59</v>
      </c>
      <c r="C20" s="32" t="s">
        <v>60</v>
      </c>
      <c r="D20" s="32"/>
      <c r="E20" s="32"/>
      <c r="F20" s="29">
        <v>0.48660479187965389</v>
      </c>
      <c r="G20" s="29">
        <v>5.2085279736608481E-2</v>
      </c>
      <c r="H20" s="29">
        <v>0.43451951214304541</v>
      </c>
      <c r="I20" s="30">
        <v>16.935065959999999</v>
      </c>
      <c r="J20" s="30">
        <v>27.499554082618854</v>
      </c>
      <c r="K20" s="31">
        <v>1.6238232639643557</v>
      </c>
      <c r="L20" t="s">
        <v>129</v>
      </c>
      <c r="O20">
        <v>1</v>
      </c>
    </row>
    <row r="21" spans="2:15" x14ac:dyDescent="0.25">
      <c r="B21" s="27" t="s">
        <v>61</v>
      </c>
      <c r="C21" s="32" t="s">
        <v>62</v>
      </c>
      <c r="D21" s="32"/>
      <c r="E21" s="32"/>
      <c r="F21" s="29">
        <v>0.80171412229537986</v>
      </c>
      <c r="G21" s="29">
        <v>-1.5826921221580026E-3</v>
      </c>
      <c r="H21" s="29">
        <v>0.80329681441753786</v>
      </c>
      <c r="I21" s="30">
        <v>20.69832791</v>
      </c>
      <c r="J21" s="30">
        <v>36.165627381336769</v>
      </c>
      <c r="K21" s="31">
        <v>1.7472728975302416</v>
      </c>
      <c r="L21" t="s">
        <v>133</v>
      </c>
      <c r="M21">
        <v>1</v>
      </c>
    </row>
    <row r="22" spans="2:15" x14ac:dyDescent="0.25">
      <c r="B22" s="32"/>
      <c r="C22" s="34" t="s">
        <v>64</v>
      </c>
      <c r="D22" s="34"/>
      <c r="E22" s="34"/>
      <c r="F22" s="35">
        <v>2.2052178718478368</v>
      </c>
      <c r="G22" s="35">
        <v>8.4992119698127713E-2</v>
      </c>
      <c r="H22" s="35">
        <v>2.1202257521497088</v>
      </c>
      <c r="I22" s="36">
        <v>45.078892005882352</v>
      </c>
      <c r="J22" s="36">
        <v>98.489559726253233</v>
      </c>
      <c r="K22" s="37">
        <v>2.1848265417304691</v>
      </c>
    </row>
    <row r="23" spans="2:15" x14ac:dyDescent="0.25">
      <c r="B23" s="32"/>
      <c r="C23" s="34" t="s">
        <v>66</v>
      </c>
      <c r="D23" s="34"/>
      <c r="E23" s="34"/>
      <c r="F23" s="35">
        <v>4.734462547371181</v>
      </c>
      <c r="G23" s="35">
        <v>8.7475479079955717E-2</v>
      </c>
      <c r="H23" s="35">
        <v>4.6469870682912253</v>
      </c>
      <c r="I23" s="36">
        <v>766.34116410000001</v>
      </c>
      <c r="J23" s="36">
        <v>1674.322515346305</v>
      </c>
      <c r="K23" s="37">
        <v>2.1848265417304691</v>
      </c>
    </row>
    <row r="24" spans="2:15" x14ac:dyDescent="0.25">
      <c r="B24" s="32"/>
      <c r="C24" s="38" t="s">
        <v>104</v>
      </c>
      <c r="D24" s="38"/>
      <c r="E24" s="38"/>
      <c r="F24" s="39">
        <v>0.42968579092724657</v>
      </c>
      <c r="G24" s="39">
        <v>8.7475479079955717E-2</v>
      </c>
      <c r="H24" s="39">
        <v>0.34221031184729084</v>
      </c>
      <c r="I24" s="40">
        <v>572.41497213000002</v>
      </c>
      <c r="J24" s="40">
        <v>1028.5152896463053</v>
      </c>
      <c r="K24" s="41">
        <v>1.7968001183112332</v>
      </c>
    </row>
    <row r="25" spans="2:15" x14ac:dyDescent="0.25"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2:15" x14ac:dyDescent="0.25">
      <c r="B26" s="24" t="s">
        <v>15</v>
      </c>
      <c r="C26" s="42" t="s">
        <v>67</v>
      </c>
      <c r="D26" s="42"/>
      <c r="E26" s="42"/>
      <c r="F26" s="43" t="s">
        <v>17</v>
      </c>
      <c r="G26" s="43" t="s">
        <v>18</v>
      </c>
      <c r="H26" s="26" t="s">
        <v>111</v>
      </c>
      <c r="I26" s="43" t="s">
        <v>19</v>
      </c>
      <c r="J26" s="43" t="s">
        <v>20</v>
      </c>
      <c r="K26" s="43" t="s">
        <v>21</v>
      </c>
    </row>
    <row r="27" spans="2:15" x14ac:dyDescent="0.25">
      <c r="B27" s="44" t="s">
        <v>68</v>
      </c>
      <c r="C27" s="45" t="s">
        <v>81</v>
      </c>
      <c r="D27" s="45"/>
      <c r="E27" s="45"/>
      <c r="F27" s="46">
        <v>0.11202277541160585</v>
      </c>
      <c r="G27" s="46">
        <v>6.6000000000000003E-2</v>
      </c>
      <c r="H27" s="46">
        <v>4.6022775411605849E-2</v>
      </c>
      <c r="I27" s="47">
        <v>21.036999999999956</v>
      </c>
      <c r="J27" s="47">
        <v>61.72452513013733</v>
      </c>
      <c r="K27" s="48">
        <v>2.9340935081113018</v>
      </c>
      <c r="L27" t="s">
        <v>134</v>
      </c>
      <c r="M27">
        <v>1</v>
      </c>
    </row>
    <row r="28" spans="2:15" x14ac:dyDescent="0.25">
      <c r="B28" s="44" t="s">
        <v>69</v>
      </c>
      <c r="C28" s="45" t="s">
        <v>82</v>
      </c>
      <c r="D28" s="45"/>
      <c r="E28" s="45"/>
      <c r="F28" s="46">
        <v>0.80994778871536233</v>
      </c>
      <c r="G28" s="46">
        <v>0.13266982007777828</v>
      </c>
      <c r="H28" s="46">
        <v>0.67727796863758405</v>
      </c>
      <c r="I28" s="47">
        <v>92.52</v>
      </c>
      <c r="J28" s="47">
        <v>364.28938000000005</v>
      </c>
      <c r="K28" s="48">
        <v>3.9374122351923915</v>
      </c>
      <c r="L28" t="s">
        <v>129</v>
      </c>
      <c r="M28">
        <v>1</v>
      </c>
    </row>
    <row r="29" spans="2:15" x14ac:dyDescent="0.25">
      <c r="B29" s="44" t="s">
        <v>68</v>
      </c>
      <c r="C29" s="45" t="s">
        <v>83</v>
      </c>
      <c r="D29" s="45"/>
      <c r="E29" s="45"/>
      <c r="F29" s="46">
        <v>0.2973152458667756</v>
      </c>
      <c r="G29" s="46">
        <v>8.2232223629702617E-2</v>
      </c>
      <c r="H29" s="46">
        <v>0.21508302223707298</v>
      </c>
      <c r="I29" s="47">
        <v>30</v>
      </c>
      <c r="J29" s="47">
        <v>133.29627310751499</v>
      </c>
      <c r="K29" s="48">
        <v>4.4432091035838326</v>
      </c>
      <c r="L29" t="s">
        <v>133</v>
      </c>
      <c r="N29">
        <v>1</v>
      </c>
    </row>
    <row r="30" spans="2:15" x14ac:dyDescent="0.25">
      <c r="B30" s="44" t="s">
        <v>70</v>
      </c>
      <c r="C30" s="45" t="s">
        <v>52</v>
      </c>
      <c r="D30" s="45"/>
      <c r="E30" s="45"/>
      <c r="F30" s="46">
        <v>0.93921447992324825</v>
      </c>
      <c r="G30" s="46">
        <v>0.21613629213294594</v>
      </c>
      <c r="H30" s="46">
        <v>0.72307818779030231</v>
      </c>
      <c r="I30" s="47">
        <v>85.154100853953992</v>
      </c>
      <c r="J30" s="47">
        <v>466.50057400000003</v>
      </c>
      <c r="K30" s="48">
        <v>5.4783101379942387</v>
      </c>
      <c r="L30" t="s">
        <v>129</v>
      </c>
      <c r="M30">
        <v>1</v>
      </c>
    </row>
    <row r="31" spans="2:15" x14ac:dyDescent="0.25">
      <c r="B31" s="44" t="s">
        <v>71</v>
      </c>
      <c r="C31" s="45" t="s">
        <v>84</v>
      </c>
      <c r="D31" s="45"/>
      <c r="E31" s="45"/>
      <c r="F31" s="46">
        <v>0.32264828085899355</v>
      </c>
      <c r="G31" s="46">
        <v>0.17095753449361273</v>
      </c>
      <c r="H31" s="46">
        <v>0.15169074636538082</v>
      </c>
      <c r="I31" s="47">
        <v>447.98686099999998</v>
      </c>
      <c r="J31" s="47">
        <v>701.9731104</v>
      </c>
      <c r="K31" s="48">
        <v>1.5669502199976353</v>
      </c>
      <c r="L31" t="s">
        <v>129</v>
      </c>
      <c r="M31">
        <v>1</v>
      </c>
    </row>
    <row r="32" spans="2:15" x14ac:dyDescent="0.25">
      <c r="B32" s="44" t="s">
        <v>72</v>
      </c>
      <c r="C32" s="45" t="s">
        <v>85</v>
      </c>
      <c r="D32" s="45"/>
      <c r="E32" s="45"/>
      <c r="F32" s="46">
        <v>0.31585792899131782</v>
      </c>
      <c r="G32" s="46">
        <v>0.1267406565830409</v>
      </c>
      <c r="H32" s="46">
        <v>0.18911727240827692</v>
      </c>
      <c r="I32" s="47">
        <v>36.747744960000006</v>
      </c>
      <c r="J32" s="47">
        <v>185.86974995000003</v>
      </c>
      <c r="K32" s="48">
        <v>5.0579906373117485</v>
      </c>
      <c r="L32" t="s">
        <v>129</v>
      </c>
      <c r="M32">
        <v>1</v>
      </c>
    </row>
    <row r="33" spans="2:15" x14ac:dyDescent="0.25">
      <c r="B33" s="49" t="s">
        <v>69</v>
      </c>
      <c r="C33" s="45" t="s">
        <v>62</v>
      </c>
      <c r="D33" s="45"/>
      <c r="E33" s="45"/>
      <c r="F33" s="46">
        <v>0.12808825373649593</v>
      </c>
      <c r="G33" s="46">
        <v>0.124175895669423</v>
      </c>
      <c r="H33" s="46">
        <v>3.9123580670729352E-3</v>
      </c>
      <c r="I33" s="47">
        <v>128.11688075000001</v>
      </c>
      <c r="J33" s="47">
        <v>170.05515584400001</v>
      </c>
      <c r="K33" s="48">
        <v>1.327343866385851</v>
      </c>
      <c r="L33" t="s">
        <v>133</v>
      </c>
      <c r="M33">
        <v>1</v>
      </c>
    </row>
    <row r="34" spans="2:15" x14ac:dyDescent="0.25">
      <c r="B34" s="44" t="s">
        <v>72</v>
      </c>
      <c r="C34" s="45" t="s">
        <v>86</v>
      </c>
      <c r="D34" s="45"/>
      <c r="E34" s="45"/>
      <c r="F34" s="46">
        <v>0.16114621758461004</v>
      </c>
      <c r="G34" s="46">
        <v>0.134112379204816</v>
      </c>
      <c r="H34" s="46">
        <v>2.7033838379794034E-2</v>
      </c>
      <c r="I34" s="47">
        <v>142</v>
      </c>
      <c r="J34" s="47">
        <v>214.06895399999999</v>
      </c>
      <c r="K34" s="48">
        <v>1.5075278450704224</v>
      </c>
      <c r="L34" t="s">
        <v>129</v>
      </c>
      <c r="M34">
        <v>1</v>
      </c>
    </row>
    <row r="35" spans="2:15" x14ac:dyDescent="0.25">
      <c r="B35" s="44" t="s">
        <v>72</v>
      </c>
      <c r="C35" s="45" t="s">
        <v>87</v>
      </c>
      <c r="D35" s="45"/>
      <c r="E35" s="45"/>
      <c r="F35" s="46">
        <v>0.42776139378547673</v>
      </c>
      <c r="G35" s="46">
        <v>0.13897165643977938</v>
      </c>
      <c r="H35" s="46">
        <v>0.28878973734569735</v>
      </c>
      <c r="I35" s="47">
        <v>50.332073640000004</v>
      </c>
      <c r="J35" s="47">
        <v>101.985876</v>
      </c>
      <c r="K35" s="48">
        <v>2.0262601682071288</v>
      </c>
      <c r="L35" t="s">
        <v>129</v>
      </c>
      <c r="N35">
        <v>1</v>
      </c>
    </row>
    <row r="36" spans="2:15" x14ac:dyDescent="0.25">
      <c r="B36" s="44" t="s">
        <v>68</v>
      </c>
      <c r="C36" s="45" t="s">
        <v>88</v>
      </c>
      <c r="D36" s="45"/>
      <c r="E36" s="45"/>
      <c r="F36" s="46">
        <v>1.078595173358917</v>
      </c>
      <c r="G36" s="46">
        <v>4.1846624117082731E-2</v>
      </c>
      <c r="H36" s="46">
        <v>1.0367485492418342</v>
      </c>
      <c r="I36" s="47">
        <v>29.675999999999998</v>
      </c>
      <c r="J36" s="47">
        <v>836.39</v>
      </c>
      <c r="K36" s="48">
        <v>28.184054454778273</v>
      </c>
      <c r="L36" t="s">
        <v>132</v>
      </c>
      <c r="O36">
        <v>1</v>
      </c>
    </row>
    <row r="37" spans="2:15" x14ac:dyDescent="0.25">
      <c r="B37" s="44" t="s">
        <v>68</v>
      </c>
      <c r="C37" s="45" t="s">
        <v>89</v>
      </c>
      <c r="D37" s="45"/>
      <c r="E37" s="45"/>
      <c r="F37" s="46">
        <v>0.29446503520011913</v>
      </c>
      <c r="G37" s="46">
        <v>7.6568390051913404E-2</v>
      </c>
      <c r="H37" s="46">
        <v>0.21789664514820573</v>
      </c>
      <c r="I37" s="47">
        <v>70.33</v>
      </c>
      <c r="J37" s="47">
        <v>385.73595999999998</v>
      </c>
      <c r="K37" s="48">
        <v>5.4846574719181005</v>
      </c>
      <c r="L37" t="s">
        <v>135</v>
      </c>
      <c r="O37">
        <v>1</v>
      </c>
    </row>
    <row r="38" spans="2:15" x14ac:dyDescent="0.25">
      <c r="B38" s="49" t="s">
        <v>73</v>
      </c>
      <c r="C38" s="45" t="s">
        <v>90</v>
      </c>
      <c r="D38" s="45"/>
      <c r="E38" s="45"/>
      <c r="F38" s="46">
        <v>-0.51404784052136077</v>
      </c>
      <c r="G38" s="46">
        <v>7.85E-2</v>
      </c>
      <c r="H38" s="46">
        <v>-0.59254784052136078</v>
      </c>
      <c r="I38" s="47">
        <v>96</v>
      </c>
      <c r="J38" s="47">
        <v>30</v>
      </c>
      <c r="K38" s="48">
        <v>0.3125</v>
      </c>
      <c r="L38" t="s">
        <v>135</v>
      </c>
      <c r="N38">
        <v>1</v>
      </c>
    </row>
    <row r="39" spans="2:15" x14ac:dyDescent="0.25">
      <c r="B39" s="44" t="s">
        <v>74</v>
      </c>
      <c r="C39" s="45" t="s">
        <v>91</v>
      </c>
      <c r="D39" s="45"/>
      <c r="E39" s="45"/>
      <c r="F39" s="46">
        <v>7.224304723739623</v>
      </c>
      <c r="G39" s="46">
        <v>0.26650000000000001</v>
      </c>
      <c r="H39" s="46">
        <v>6.9578047237396232</v>
      </c>
      <c r="I39" s="47">
        <v>88.396305999999996</v>
      </c>
      <c r="J39" s="47">
        <v>269.71939991999994</v>
      </c>
      <c r="K39" s="48">
        <v>3.0512519371567399</v>
      </c>
      <c r="L39" t="s">
        <v>136</v>
      </c>
      <c r="M39">
        <v>1</v>
      </c>
    </row>
    <row r="40" spans="2:15" x14ac:dyDescent="0.25">
      <c r="B40" s="44" t="s">
        <v>75</v>
      </c>
      <c r="C40" s="45" t="s">
        <v>92</v>
      </c>
      <c r="D40" s="45"/>
      <c r="E40" s="45"/>
      <c r="F40" s="46">
        <v>1.1109811190850198</v>
      </c>
      <c r="G40" s="46">
        <v>0.1648</v>
      </c>
      <c r="H40" s="46">
        <v>0.94618111908501978</v>
      </c>
      <c r="I40" s="47">
        <v>115</v>
      </c>
      <c r="J40" s="47">
        <v>157</v>
      </c>
      <c r="K40" s="48">
        <v>1.3652173913043477</v>
      </c>
      <c r="L40" t="s">
        <v>129</v>
      </c>
      <c r="M40">
        <v>1</v>
      </c>
    </row>
    <row r="41" spans="2:15" x14ac:dyDescent="0.25">
      <c r="B41" s="44" t="s">
        <v>76</v>
      </c>
      <c r="C41" s="45" t="s">
        <v>93</v>
      </c>
      <c r="D41" s="45"/>
      <c r="E41" s="45"/>
      <c r="F41" s="46">
        <v>0.33673791289329535</v>
      </c>
      <c r="G41" s="46">
        <v>0.12285641546393289</v>
      </c>
      <c r="H41" s="46">
        <v>0.21388149742936247</v>
      </c>
      <c r="I41" s="47">
        <v>312.72699999999998</v>
      </c>
      <c r="J41" s="47">
        <v>2614.2967417188092</v>
      </c>
      <c r="K41" s="48">
        <v>8.3596771040518068</v>
      </c>
      <c r="L41" t="s">
        <v>132</v>
      </c>
      <c r="N41">
        <v>1</v>
      </c>
    </row>
    <row r="42" spans="2:15" x14ac:dyDescent="0.25">
      <c r="B42" s="44" t="s">
        <v>77</v>
      </c>
      <c r="C42" s="45" t="s">
        <v>94</v>
      </c>
      <c r="D42" s="45"/>
      <c r="E42" s="45"/>
      <c r="F42" s="46">
        <v>0.25300757288932807</v>
      </c>
      <c r="G42" s="46">
        <v>0.13049498795981629</v>
      </c>
      <c r="H42" s="46">
        <v>0.12251258492951178</v>
      </c>
      <c r="I42" s="47">
        <v>848.995</v>
      </c>
      <c r="J42" s="47">
        <v>1942.332703</v>
      </c>
      <c r="K42" s="48">
        <v>2.2878022874104089</v>
      </c>
      <c r="L42" t="s">
        <v>136</v>
      </c>
      <c r="M42">
        <v>1</v>
      </c>
    </row>
    <row r="43" spans="2:15" x14ac:dyDescent="0.25">
      <c r="B43" s="44" t="s">
        <v>75</v>
      </c>
      <c r="C43" s="45" t="s">
        <v>95</v>
      </c>
      <c r="D43" s="45"/>
      <c r="E43" s="45"/>
      <c r="F43" s="46">
        <v>0.51915968060493456</v>
      </c>
      <c r="G43" s="46">
        <v>0.28890492945668433</v>
      </c>
      <c r="H43" s="46">
        <v>0.23025475114825023</v>
      </c>
      <c r="I43" s="47">
        <v>70.608000000000004</v>
      </c>
      <c r="J43" s="47">
        <v>213.12843799999999</v>
      </c>
      <c r="K43" s="48">
        <v>3.0184743655109902</v>
      </c>
      <c r="L43" t="s">
        <v>129</v>
      </c>
      <c r="M43">
        <v>1</v>
      </c>
    </row>
    <row r="44" spans="2:15" x14ac:dyDescent="0.25">
      <c r="B44" s="44" t="s">
        <v>78</v>
      </c>
      <c r="C44" s="45" t="s">
        <v>96</v>
      </c>
      <c r="D44" s="45"/>
      <c r="E44" s="45"/>
      <c r="F44" s="46">
        <v>0.17693380713462828</v>
      </c>
      <c r="G44" s="46">
        <v>9.6612037230149994E-2</v>
      </c>
      <c r="H44" s="46">
        <v>8.0321769904478285E-2</v>
      </c>
      <c r="I44" s="47">
        <v>109.59928327058617</v>
      </c>
      <c r="J44" s="47">
        <v>226.75604683686856</v>
      </c>
      <c r="K44" s="48">
        <v>2.0689555631220489</v>
      </c>
      <c r="L44" t="s">
        <v>136</v>
      </c>
      <c r="M44">
        <v>1</v>
      </c>
    </row>
    <row r="45" spans="2:15" x14ac:dyDescent="0.25">
      <c r="B45" s="49" t="s">
        <v>78</v>
      </c>
      <c r="C45" s="45" t="s">
        <v>97</v>
      </c>
      <c r="D45" s="45"/>
      <c r="E45" s="45"/>
      <c r="F45" s="46">
        <v>8.3549341559410101E-2</v>
      </c>
      <c r="G45" s="46">
        <v>0.12453414787671568</v>
      </c>
      <c r="H45" s="46">
        <v>-4.0984806317305583E-2</v>
      </c>
      <c r="I45" s="47">
        <v>490.32600000000002</v>
      </c>
      <c r="J45" s="47">
        <v>668.48867616237987</v>
      </c>
      <c r="K45" s="48">
        <v>1.3633555556147949</v>
      </c>
      <c r="L45" t="s">
        <v>137</v>
      </c>
      <c r="M45">
        <v>1</v>
      </c>
    </row>
    <row r="46" spans="2:15" x14ac:dyDescent="0.25">
      <c r="B46" s="44" t="s">
        <v>78</v>
      </c>
      <c r="C46" s="45" t="s">
        <v>98</v>
      </c>
      <c r="D46" s="45"/>
      <c r="E46" s="45"/>
      <c r="F46" s="46">
        <v>0.20318048596382143</v>
      </c>
      <c r="G46" s="46">
        <v>0.10881170831559461</v>
      </c>
      <c r="H46" s="46">
        <v>9.436877764822682E-2</v>
      </c>
      <c r="I46" s="47">
        <v>99.006600000000006</v>
      </c>
      <c r="J46" s="47">
        <v>533.57743266960506</v>
      </c>
      <c r="K46" s="48">
        <v>5.3893117496167431</v>
      </c>
      <c r="L46" t="s">
        <v>133</v>
      </c>
      <c r="N46">
        <v>1</v>
      </c>
    </row>
    <row r="47" spans="2:15" x14ac:dyDescent="0.25">
      <c r="B47" s="44" t="s">
        <v>79</v>
      </c>
      <c r="C47" s="45" t="s">
        <v>99</v>
      </c>
      <c r="D47" s="45"/>
      <c r="E47" s="45"/>
      <c r="F47" s="46">
        <v>0.73801332244322482</v>
      </c>
      <c r="G47" s="46">
        <v>0.27782674098735738</v>
      </c>
      <c r="H47" s="46">
        <v>0.46018658145586744</v>
      </c>
      <c r="I47" s="47">
        <v>120</v>
      </c>
      <c r="J47" s="47">
        <v>630</v>
      </c>
      <c r="K47" s="48">
        <v>5.25</v>
      </c>
      <c r="L47" t="s">
        <v>129</v>
      </c>
      <c r="M47">
        <v>1</v>
      </c>
    </row>
    <row r="48" spans="2:15" ht="17.25" x14ac:dyDescent="0.4">
      <c r="B48" s="44" t="s">
        <v>80</v>
      </c>
      <c r="C48" s="50" t="s">
        <v>100</v>
      </c>
      <c r="D48" s="50"/>
      <c r="E48" s="50"/>
      <c r="F48" s="51">
        <v>-5.4039356086449275E-2</v>
      </c>
      <c r="G48" s="51">
        <v>0.13475471749072665</v>
      </c>
      <c r="H48" s="74">
        <v>-0.18879407357717592</v>
      </c>
      <c r="I48" s="52">
        <v>684.35299999999995</v>
      </c>
      <c r="J48" s="52">
        <v>392.65475199999997</v>
      </c>
      <c r="K48" s="53">
        <v>0.57376054755367478</v>
      </c>
      <c r="L48" t="s">
        <v>132</v>
      </c>
      <c r="N48">
        <v>1</v>
      </c>
    </row>
    <row r="49" spans="2:15" x14ac:dyDescent="0.25">
      <c r="B49" s="54"/>
      <c r="C49" s="55" t="s">
        <v>64</v>
      </c>
      <c r="D49" s="55"/>
      <c r="E49" s="55"/>
      <c r="F49" s="56">
        <v>0.68022015196083607</v>
      </c>
      <c r="G49" s="56">
        <v>0.14113668896277609</v>
      </c>
      <c r="H49" s="56">
        <v>0.53908346299805998</v>
      </c>
      <c r="I49" s="57">
        <v>189.4959932033882</v>
      </c>
      <c r="J49" s="57">
        <v>513.62926130633252</v>
      </c>
      <c r="K49" s="58">
        <v>4.3176416431769304</v>
      </c>
      <c r="M49">
        <f>+SUM(M5:M48)</f>
        <v>24</v>
      </c>
      <c r="N49">
        <f>+SUM(N5:N48)</f>
        <v>8</v>
      </c>
      <c r="O49">
        <f>+SUM(O5:O48)</f>
        <v>7</v>
      </c>
    </row>
    <row r="50" spans="2:15" x14ac:dyDescent="0.25">
      <c r="B50" s="54"/>
      <c r="C50" s="55" t="s">
        <v>66</v>
      </c>
      <c r="D50" s="55"/>
      <c r="E50" s="55"/>
      <c r="F50" s="56">
        <v>0.39379990649782048</v>
      </c>
      <c r="G50" s="56">
        <v>0.14200142781507241</v>
      </c>
      <c r="H50" s="56">
        <v>0.25179847868274807</v>
      </c>
      <c r="I50" s="57">
        <v>4168.9118504745402</v>
      </c>
      <c r="J50" s="57">
        <v>11299.843748739315</v>
      </c>
      <c r="K50" s="59">
        <v>2.7105019616697037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46B55-6E6B-4DBB-80C9-1F6C03AA29B2}">
  <dimension ref="B2:M58"/>
  <sheetViews>
    <sheetView workbookViewId="0">
      <selection activeCell="V25" sqref="V25"/>
    </sheetView>
  </sheetViews>
  <sheetFormatPr defaultRowHeight="15" x14ac:dyDescent="0.25"/>
  <cols>
    <col min="8" max="8" width="9" customWidth="1"/>
    <col min="10" max="10" width="7.85546875" bestFit="1" customWidth="1"/>
  </cols>
  <sheetData>
    <row r="2" spans="2:13" x14ac:dyDescent="0.25">
      <c r="B2" s="86"/>
      <c r="C2" s="86"/>
      <c r="D2" s="86"/>
      <c r="E2" s="143" t="s">
        <v>138</v>
      </c>
      <c r="F2" s="144"/>
      <c r="G2" s="87" t="s">
        <v>19</v>
      </c>
      <c r="H2" s="87" t="s">
        <v>144</v>
      </c>
      <c r="I2" s="87" t="s">
        <v>145</v>
      </c>
      <c r="J2" s="87" t="s">
        <v>146</v>
      </c>
      <c r="K2" s="87" t="s">
        <v>147</v>
      </c>
      <c r="L2" s="87" t="s">
        <v>148</v>
      </c>
      <c r="M2" s="86"/>
    </row>
    <row r="3" spans="2:13" x14ac:dyDescent="0.25">
      <c r="B3" s="88" t="s">
        <v>139</v>
      </c>
      <c r="C3" s="86" t="s">
        <v>140</v>
      </c>
      <c r="D3" s="86" t="s">
        <v>16</v>
      </c>
      <c r="E3" s="89" t="s">
        <v>154</v>
      </c>
      <c r="F3" s="89" t="s">
        <v>155</v>
      </c>
      <c r="G3" s="87" t="s">
        <v>150</v>
      </c>
      <c r="H3" s="87" t="s">
        <v>151</v>
      </c>
      <c r="I3" s="87" t="s">
        <v>152</v>
      </c>
      <c r="J3" s="87" t="s">
        <v>17</v>
      </c>
      <c r="K3" s="87" t="s">
        <v>18</v>
      </c>
      <c r="L3" s="87" t="s">
        <v>153</v>
      </c>
      <c r="M3" s="88"/>
    </row>
    <row r="4" spans="2:13" x14ac:dyDescent="0.25">
      <c r="B4" s="32">
        <v>1</v>
      </c>
      <c r="C4" s="32" t="s">
        <v>156</v>
      </c>
      <c r="D4" s="32" t="s">
        <v>81</v>
      </c>
      <c r="E4" s="90">
        <v>4.2040698379303354E-2</v>
      </c>
      <c r="F4" s="90">
        <v>0.43635195636479285</v>
      </c>
      <c r="G4" s="30">
        <v>21.036999999999956</v>
      </c>
      <c r="H4" s="91">
        <v>61.72452513013733</v>
      </c>
      <c r="I4" s="92">
        <v>2.9340935081113018</v>
      </c>
      <c r="J4" s="90">
        <v>0.11202277541160585</v>
      </c>
      <c r="K4" s="93">
        <v>6.6000000000000003E-2</v>
      </c>
      <c r="L4" s="93">
        <v>4.6022775411605849E-2</v>
      </c>
      <c r="M4" s="32"/>
    </row>
    <row r="5" spans="2:13" x14ac:dyDescent="0.25">
      <c r="B5" s="32">
        <v>2</v>
      </c>
      <c r="C5" s="32" t="s">
        <v>157</v>
      </c>
      <c r="D5" s="32" t="s">
        <v>82</v>
      </c>
      <c r="E5" s="90">
        <v>2.1430682598139628E-2</v>
      </c>
      <c r="F5" s="90">
        <v>0.24087067117626759</v>
      </c>
      <c r="G5" s="30">
        <v>92.52</v>
      </c>
      <c r="H5" s="91">
        <v>364.28938000000005</v>
      </c>
      <c r="I5" s="92">
        <v>3.9374122351923915</v>
      </c>
      <c r="J5" s="90">
        <v>0.80994778871536233</v>
      </c>
      <c r="K5" s="93">
        <v>0.13266982007777828</v>
      </c>
      <c r="L5" s="93">
        <v>0.67727796863758405</v>
      </c>
      <c r="M5" s="32"/>
    </row>
    <row r="6" spans="2:13" x14ac:dyDescent="0.25">
      <c r="B6" s="32">
        <v>3</v>
      </c>
      <c r="C6" s="32" t="s">
        <v>156</v>
      </c>
      <c r="D6" s="32" t="s">
        <v>83</v>
      </c>
      <c r="E6" s="90">
        <v>0.24215723474802076</v>
      </c>
      <c r="F6" s="90">
        <v>0.13197627525848965</v>
      </c>
      <c r="G6" s="30">
        <v>30</v>
      </c>
      <c r="H6" s="91">
        <v>133.29627310751499</v>
      </c>
      <c r="I6" s="92">
        <v>4.4432091035838326</v>
      </c>
      <c r="J6" s="90">
        <v>0.2973152458667756</v>
      </c>
      <c r="K6" s="93">
        <v>8.2232223629702617E-2</v>
      </c>
      <c r="L6" s="93">
        <v>0.21508302223707298</v>
      </c>
      <c r="M6" s="32"/>
    </row>
    <row r="7" spans="2:13" x14ac:dyDescent="0.25">
      <c r="B7" s="32">
        <v>4</v>
      </c>
      <c r="C7" s="32" t="s">
        <v>158</v>
      </c>
      <c r="D7" s="32" t="s">
        <v>52</v>
      </c>
      <c r="E7" s="90">
        <v>6.8808809760947831E-2</v>
      </c>
      <c r="F7" s="90">
        <v>0.41553504459361612</v>
      </c>
      <c r="G7" s="30">
        <v>85.154100853953992</v>
      </c>
      <c r="H7" s="91">
        <v>466.50057400000003</v>
      </c>
      <c r="I7" s="92">
        <v>5.4783101379942387</v>
      </c>
      <c r="J7" s="90">
        <v>0.93921447992324825</v>
      </c>
      <c r="K7" s="93">
        <v>0.21613629213294594</v>
      </c>
      <c r="L7" s="93">
        <v>0.72307818779030231</v>
      </c>
      <c r="M7" s="32"/>
    </row>
    <row r="8" spans="2:13" x14ac:dyDescent="0.25">
      <c r="B8" s="32">
        <v>5</v>
      </c>
      <c r="C8" s="32" t="s">
        <v>159</v>
      </c>
      <c r="D8" s="32" t="s">
        <v>84</v>
      </c>
      <c r="E8" s="90">
        <v>1.0787543115664988E-2</v>
      </c>
      <c r="F8" s="90">
        <v>0.13811360183928056</v>
      </c>
      <c r="G8" s="30">
        <v>447.98686099999998</v>
      </c>
      <c r="H8" s="91">
        <v>701.9731104</v>
      </c>
      <c r="I8" s="92">
        <v>1.5669502199976353</v>
      </c>
      <c r="J8" s="90">
        <v>0.32264828085899355</v>
      </c>
      <c r="K8" s="93">
        <v>0.17095753449361273</v>
      </c>
      <c r="L8" s="93">
        <v>0.15169074636538082</v>
      </c>
      <c r="M8" s="32"/>
    </row>
    <row r="9" spans="2:13" x14ac:dyDescent="0.25">
      <c r="B9" s="32">
        <v>6</v>
      </c>
      <c r="C9" s="32" t="s">
        <v>157</v>
      </c>
      <c r="D9" s="32" t="s">
        <v>85</v>
      </c>
      <c r="E9" s="90">
        <v>-5.269022578236171E-2</v>
      </c>
      <c r="F9" s="90">
        <v>0.12859969535791782</v>
      </c>
      <c r="G9" s="30">
        <v>36.747744960000006</v>
      </c>
      <c r="H9" s="91">
        <v>185.86974995000003</v>
      </c>
      <c r="I9" s="92">
        <v>5.0579906373117485</v>
      </c>
      <c r="J9" s="90">
        <v>0.31585792899131782</v>
      </c>
      <c r="K9" s="93">
        <v>0.1267406565830409</v>
      </c>
      <c r="L9" s="93">
        <v>0.18911727240827692</v>
      </c>
      <c r="M9" s="32"/>
    </row>
    <row r="10" spans="2:13" x14ac:dyDescent="0.25">
      <c r="B10" s="32">
        <v>7</v>
      </c>
      <c r="C10" s="32" t="s">
        <v>160</v>
      </c>
      <c r="D10" s="32" t="s">
        <v>62</v>
      </c>
      <c r="E10" s="90">
        <v>4.5345486127461143E-2</v>
      </c>
      <c r="F10" s="90">
        <v>0.32645122102120605</v>
      </c>
      <c r="G10" s="30">
        <v>128.11688075000001</v>
      </c>
      <c r="H10" s="91">
        <v>170.05515584400001</v>
      </c>
      <c r="I10" s="92">
        <v>1.327343866385851</v>
      </c>
      <c r="J10" s="90">
        <v>0.12808825373649593</v>
      </c>
      <c r="K10" s="93">
        <v>0.124175895669423</v>
      </c>
      <c r="L10" s="93">
        <v>3.9123580670729352E-3</v>
      </c>
      <c r="M10" s="32"/>
    </row>
    <row r="11" spans="2:13" x14ac:dyDescent="0.25">
      <c r="B11" s="32">
        <v>8</v>
      </c>
      <c r="C11" s="32" t="s">
        <v>157</v>
      </c>
      <c r="D11" s="32" t="s">
        <v>86</v>
      </c>
      <c r="E11" s="90">
        <v>-0.1591035847462855</v>
      </c>
      <c r="F11" s="90">
        <v>-7.5926104778429204E-2</v>
      </c>
      <c r="G11" s="30">
        <v>142</v>
      </c>
      <c r="H11" s="91">
        <v>214.06895399999999</v>
      </c>
      <c r="I11" s="92">
        <v>1.5075278450704224</v>
      </c>
      <c r="J11" s="90">
        <v>0.16114621758461004</v>
      </c>
      <c r="K11" s="93">
        <v>0.134112379204816</v>
      </c>
      <c r="L11" s="93">
        <v>2.7033838379794034E-2</v>
      </c>
      <c r="M11" s="32"/>
    </row>
    <row r="12" spans="2:13" x14ac:dyDescent="0.25">
      <c r="B12" s="32">
        <v>9</v>
      </c>
      <c r="C12" s="32" t="s">
        <v>157</v>
      </c>
      <c r="D12" s="32" t="s">
        <v>87</v>
      </c>
      <c r="E12" s="90">
        <v>0.41976121988936232</v>
      </c>
      <c r="F12" s="90">
        <v>1.2518715612510185</v>
      </c>
      <c r="G12" s="30">
        <v>50.332073640000004</v>
      </c>
      <c r="H12" s="91">
        <v>101.985876</v>
      </c>
      <c r="I12" s="92">
        <v>2.0262601682071288</v>
      </c>
      <c r="J12" s="90">
        <v>0.42776139378547673</v>
      </c>
      <c r="K12" s="93">
        <v>0.13897165643977938</v>
      </c>
      <c r="L12" s="93">
        <v>0.28878973734569735</v>
      </c>
      <c r="M12" s="32"/>
    </row>
    <row r="13" spans="2:13" x14ac:dyDescent="0.25">
      <c r="B13" s="32">
        <v>10</v>
      </c>
      <c r="C13" s="32" t="s">
        <v>161</v>
      </c>
      <c r="D13" s="32" t="s">
        <v>88</v>
      </c>
      <c r="E13" s="90">
        <v>1.0589241364785176</v>
      </c>
      <c r="F13" s="90">
        <v>2.382616249121853</v>
      </c>
      <c r="G13" s="30">
        <v>29.675999999999998</v>
      </c>
      <c r="H13" s="91">
        <v>836.39</v>
      </c>
      <c r="I13" s="92">
        <v>28.184054454778273</v>
      </c>
      <c r="J13" s="90">
        <v>1.078595173358917</v>
      </c>
      <c r="K13" s="93">
        <v>4.1846624117082731E-2</v>
      </c>
      <c r="L13" s="93">
        <v>1.0367485492418342</v>
      </c>
      <c r="M13" s="32"/>
    </row>
    <row r="14" spans="2:13" x14ac:dyDescent="0.25">
      <c r="B14" s="32">
        <v>11</v>
      </c>
      <c r="C14" s="32" t="s">
        <v>162</v>
      </c>
      <c r="D14" s="32" t="s">
        <v>89</v>
      </c>
      <c r="E14" s="94">
        <v>0.18821282561320274</v>
      </c>
      <c r="F14" s="94">
        <v>0.40325824724518733</v>
      </c>
      <c r="G14" s="95">
        <v>70.33</v>
      </c>
      <c r="H14" s="96">
        <v>385.73595999999998</v>
      </c>
      <c r="I14" s="97">
        <v>5.4846574719181005</v>
      </c>
      <c r="J14" s="94">
        <v>0.29446503520011913</v>
      </c>
      <c r="K14" s="98">
        <v>7.6568390051913404E-2</v>
      </c>
      <c r="L14" s="98">
        <v>0.21789664514820573</v>
      </c>
      <c r="M14" s="32"/>
    </row>
    <row r="15" spans="2:13" x14ac:dyDescent="0.25">
      <c r="B15" s="32">
        <v>12</v>
      </c>
      <c r="C15" s="32" t="s">
        <v>163</v>
      </c>
      <c r="D15" s="32" t="s">
        <v>90</v>
      </c>
      <c r="E15" s="90">
        <v>0</v>
      </c>
      <c r="F15" s="90">
        <v>0</v>
      </c>
      <c r="G15" s="30">
        <v>96</v>
      </c>
      <c r="H15" s="91">
        <v>30</v>
      </c>
      <c r="I15" s="92">
        <v>0.3125</v>
      </c>
      <c r="J15" s="90">
        <v>-0.51404784052136077</v>
      </c>
      <c r="K15" s="93">
        <v>7.85E-2</v>
      </c>
      <c r="L15" s="93">
        <v>-0.59254784052136078</v>
      </c>
      <c r="M15" s="32"/>
    </row>
    <row r="16" spans="2:13" x14ac:dyDescent="0.25">
      <c r="B16" s="32">
        <v>13</v>
      </c>
      <c r="C16" s="32" t="s">
        <v>164</v>
      </c>
      <c r="D16" s="32" t="s">
        <v>91</v>
      </c>
      <c r="E16" s="90">
        <v>2.8062140488541942E-2</v>
      </c>
      <c r="F16" s="90">
        <v>7.9625706745938274E-2</v>
      </c>
      <c r="G16" s="30">
        <v>88.396305999999996</v>
      </c>
      <c r="H16" s="91">
        <v>269.71939991999994</v>
      </c>
      <c r="I16" s="92">
        <v>3.0512519371567399</v>
      </c>
      <c r="J16" s="90">
        <v>7.224304723739623</v>
      </c>
      <c r="K16" s="93">
        <v>0.26650000000000001</v>
      </c>
      <c r="L16" s="93">
        <v>6.9578047237396232</v>
      </c>
      <c r="M16" s="32"/>
    </row>
    <row r="17" spans="2:13" x14ac:dyDescent="0.25">
      <c r="B17" s="32">
        <v>14</v>
      </c>
      <c r="C17" s="32" t="s">
        <v>165</v>
      </c>
      <c r="D17" s="32" t="s">
        <v>92</v>
      </c>
      <c r="E17" s="94">
        <v>0</v>
      </c>
      <c r="F17" s="94">
        <v>0</v>
      </c>
      <c r="G17" s="95">
        <v>115</v>
      </c>
      <c r="H17" s="95">
        <v>157</v>
      </c>
      <c r="I17" s="97">
        <v>1.3652173913043477</v>
      </c>
      <c r="J17" s="94">
        <v>1.1109811190850198</v>
      </c>
      <c r="K17" s="98">
        <v>0.1648</v>
      </c>
      <c r="L17" s="98">
        <v>0.94618111908501978</v>
      </c>
      <c r="M17" s="32"/>
    </row>
    <row r="18" spans="2:13" x14ac:dyDescent="0.25">
      <c r="B18" s="32">
        <v>15</v>
      </c>
      <c r="C18" s="32" t="s">
        <v>166</v>
      </c>
      <c r="D18" s="32" t="s">
        <v>93</v>
      </c>
      <c r="E18" s="90">
        <v>0.1240813940464911</v>
      </c>
      <c r="F18" s="90">
        <v>0.10986495514426697</v>
      </c>
      <c r="G18" s="30">
        <v>312.72699999999998</v>
      </c>
      <c r="H18" s="91">
        <v>2614.2967417188092</v>
      </c>
      <c r="I18" s="92">
        <v>8.3596771040518068</v>
      </c>
      <c r="J18" s="90">
        <v>0.33673791289329535</v>
      </c>
      <c r="K18" s="93">
        <v>0.12285641546393289</v>
      </c>
      <c r="L18" s="93">
        <v>0.21388149742936247</v>
      </c>
      <c r="M18" s="32"/>
    </row>
    <row r="19" spans="2:13" x14ac:dyDescent="0.25">
      <c r="B19" s="32">
        <v>16</v>
      </c>
      <c r="C19" s="32" t="s">
        <v>167</v>
      </c>
      <c r="D19" s="32" t="s">
        <v>94</v>
      </c>
      <c r="E19" s="90">
        <v>-3.3333754402194993E-2</v>
      </c>
      <c r="F19" s="90">
        <v>-5.3586460477795583E-2</v>
      </c>
      <c r="G19" s="30">
        <v>848.995</v>
      </c>
      <c r="H19" s="91">
        <v>1942.332703</v>
      </c>
      <c r="I19" s="92">
        <v>2.2878022874104089</v>
      </c>
      <c r="J19" s="90">
        <v>0.25300757288932807</v>
      </c>
      <c r="K19" s="93">
        <v>0.13049498795981629</v>
      </c>
      <c r="L19" s="93">
        <v>0.12251258492951178</v>
      </c>
      <c r="M19" s="32"/>
    </row>
    <row r="20" spans="2:13" x14ac:dyDescent="0.25">
      <c r="B20" s="32">
        <v>17</v>
      </c>
      <c r="C20" s="32" t="s">
        <v>168</v>
      </c>
      <c r="D20" s="32" t="s">
        <v>95</v>
      </c>
      <c r="E20" s="90">
        <v>7.1836018579696903E-2</v>
      </c>
      <c r="F20" s="90">
        <v>1.4502421048001031</v>
      </c>
      <c r="G20" s="30">
        <v>70.608000000000004</v>
      </c>
      <c r="H20" s="91">
        <v>213.12843799999999</v>
      </c>
      <c r="I20" s="92">
        <v>3.0184743655109902</v>
      </c>
      <c r="J20" s="90">
        <v>0.51915968060493456</v>
      </c>
      <c r="K20" s="93">
        <v>0.28890492945668433</v>
      </c>
      <c r="L20" s="93">
        <v>0.23025475114825023</v>
      </c>
      <c r="M20" s="32"/>
    </row>
    <row r="21" spans="2:13" x14ac:dyDescent="0.25">
      <c r="B21" s="32">
        <v>18</v>
      </c>
      <c r="C21" s="32" t="s">
        <v>167</v>
      </c>
      <c r="D21" s="32" t="s">
        <v>96</v>
      </c>
      <c r="E21" s="90">
        <v>0.19752773737667884</v>
      </c>
      <c r="F21" s="90">
        <v>0.16328733985729738</v>
      </c>
      <c r="G21" s="30">
        <v>109.59928327058617</v>
      </c>
      <c r="H21" s="91">
        <v>226.75604683686856</v>
      </c>
      <c r="I21" s="92">
        <v>2.0689555631220489</v>
      </c>
      <c r="J21" s="90">
        <v>0.17693380713462828</v>
      </c>
      <c r="K21" s="93">
        <v>9.6612037230149994E-2</v>
      </c>
      <c r="L21" s="93">
        <v>8.0321769904478285E-2</v>
      </c>
      <c r="M21" s="32"/>
    </row>
    <row r="22" spans="2:13" x14ac:dyDescent="0.25">
      <c r="B22" s="32">
        <v>19</v>
      </c>
      <c r="C22" s="32" t="s">
        <v>167</v>
      </c>
      <c r="D22" s="32" t="s">
        <v>97</v>
      </c>
      <c r="E22" s="90">
        <v>2.1019089163214044E-2</v>
      </c>
      <c r="F22" s="90">
        <v>-8.1873747912507344E-2</v>
      </c>
      <c r="G22" s="30">
        <v>490.32600000000002</v>
      </c>
      <c r="H22" s="91">
        <v>668.48867616237987</v>
      </c>
      <c r="I22" s="92">
        <v>1.3633555556147949</v>
      </c>
      <c r="J22" s="90">
        <v>8.3549341559410101E-2</v>
      </c>
      <c r="K22" s="93">
        <v>0.12453414787671568</v>
      </c>
      <c r="L22" s="93">
        <v>-4.0984806317305583E-2</v>
      </c>
      <c r="M22" s="32"/>
    </row>
    <row r="23" spans="2:13" x14ac:dyDescent="0.25">
      <c r="B23" s="32">
        <v>20</v>
      </c>
      <c r="C23" s="32" t="s">
        <v>167</v>
      </c>
      <c r="D23" s="32" t="s">
        <v>98</v>
      </c>
      <c r="E23" s="90">
        <v>6.6335306283315409E-2</v>
      </c>
      <c r="F23" s="90">
        <v>0.11035465587990267</v>
      </c>
      <c r="G23" s="30">
        <v>99.006600000000006</v>
      </c>
      <c r="H23" s="91">
        <v>533.57743266960506</v>
      </c>
      <c r="I23" s="92">
        <v>5.3893117496167431</v>
      </c>
      <c r="J23" s="90">
        <v>0.20318048596382143</v>
      </c>
      <c r="K23" s="93">
        <v>0.10881170831559461</v>
      </c>
      <c r="L23" s="93">
        <v>9.436877764822682E-2</v>
      </c>
      <c r="M23" s="32"/>
    </row>
    <row r="24" spans="2:13" x14ac:dyDescent="0.25">
      <c r="B24" s="32">
        <v>21</v>
      </c>
      <c r="C24" s="32" t="s">
        <v>168</v>
      </c>
      <c r="D24" s="32" t="s">
        <v>99</v>
      </c>
      <c r="E24" s="90">
        <v>0.24</v>
      </c>
      <c r="F24" s="90">
        <v>1.58</v>
      </c>
      <c r="G24" s="91">
        <v>120</v>
      </c>
      <c r="H24" s="91">
        <v>630</v>
      </c>
      <c r="I24" s="92">
        <v>5.25</v>
      </c>
      <c r="J24" s="90">
        <v>0.73801332244322482</v>
      </c>
      <c r="K24" s="93">
        <v>0.27782674098735738</v>
      </c>
      <c r="L24" s="93">
        <v>0.46018658145586744</v>
      </c>
      <c r="M24" s="32"/>
    </row>
    <row r="25" spans="2:13" x14ac:dyDescent="0.25">
      <c r="B25" s="32">
        <v>22</v>
      </c>
      <c r="C25" s="99" t="s">
        <v>141</v>
      </c>
      <c r="D25" s="100" t="s">
        <v>100</v>
      </c>
      <c r="E25" s="101">
        <v>-0.115431858794388</v>
      </c>
      <c r="F25" s="101">
        <v>-0.3360884607001684</v>
      </c>
      <c r="G25" s="102">
        <v>684.35299999999995</v>
      </c>
      <c r="H25" s="102">
        <v>392.65475199999997</v>
      </c>
      <c r="I25" s="103">
        <v>0.57376054755367478</v>
      </c>
      <c r="J25" s="101">
        <v>-5.4039356086449275E-2</v>
      </c>
      <c r="K25" s="104">
        <v>0.13475471749072665</v>
      </c>
      <c r="L25" s="104">
        <v>-0.18879407357717592</v>
      </c>
      <c r="M25" s="32"/>
    </row>
    <row r="26" spans="2:13" x14ac:dyDescent="0.25">
      <c r="B26" s="32"/>
      <c r="C26" s="32"/>
      <c r="D26" s="105" t="s">
        <v>142</v>
      </c>
      <c r="E26" s="106">
        <v>1.7816730882439159E-2</v>
      </c>
      <c r="F26" s="106">
        <v>9.0455581018071191E-2</v>
      </c>
      <c r="G26" s="107">
        <v>4168.9118504745402</v>
      </c>
      <c r="H26" s="107">
        <v>11299.843748739315</v>
      </c>
      <c r="I26" s="108">
        <v>2.7105019616697037</v>
      </c>
      <c r="J26" s="106">
        <v>0.39379990649782048</v>
      </c>
      <c r="K26" s="106">
        <v>0.14200142781507241</v>
      </c>
      <c r="L26" s="109">
        <v>0.25179847868274807</v>
      </c>
      <c r="M26" s="32"/>
    </row>
    <row r="27" spans="2:13" x14ac:dyDescent="0.25">
      <c r="B27" s="4"/>
      <c r="C27" s="4"/>
      <c r="D27" s="110"/>
      <c r="E27" s="111"/>
      <c r="F27" s="111"/>
      <c r="G27" s="4"/>
      <c r="H27" s="4"/>
      <c r="I27" s="4"/>
      <c r="J27" s="4"/>
      <c r="K27" s="4"/>
      <c r="L27" s="4"/>
      <c r="M27" s="4"/>
    </row>
    <row r="28" spans="2:13" x14ac:dyDescent="0.25">
      <c r="B28" s="4"/>
      <c r="C28" s="4"/>
      <c r="D28" s="110"/>
      <c r="E28" s="111"/>
      <c r="F28" s="111"/>
      <c r="G28" s="112" t="s">
        <v>143</v>
      </c>
      <c r="I28" s="4"/>
      <c r="J28" s="85">
        <v>0.3000399251982564</v>
      </c>
      <c r="K28" s="113">
        <v>0.15803849738318398</v>
      </c>
      <c r="L28" s="114"/>
      <c r="M28" s="4"/>
    </row>
    <row r="29" spans="2:13" x14ac:dyDescent="0.25">
      <c r="B29" s="4"/>
      <c r="C29" s="4"/>
      <c r="D29" s="110"/>
      <c r="E29" s="111"/>
      <c r="F29" s="111"/>
      <c r="G29" s="66"/>
      <c r="H29" s="4"/>
      <c r="I29" s="4"/>
      <c r="J29" s="4"/>
      <c r="K29" s="115"/>
      <c r="L29" s="116"/>
      <c r="M29" s="4"/>
    </row>
    <row r="30" spans="2:13" x14ac:dyDescent="0.25">
      <c r="B30" s="4"/>
      <c r="C30" s="4"/>
      <c r="D30" s="110"/>
      <c r="E30" s="111"/>
      <c r="F30" s="111"/>
      <c r="G30" s="4"/>
      <c r="H30" s="4"/>
      <c r="I30" s="23"/>
      <c r="J30" s="23"/>
      <c r="K30" s="23"/>
      <c r="L30" s="117"/>
      <c r="M30" s="4"/>
    </row>
    <row r="31" spans="2:13" x14ac:dyDescent="0.25">
      <c r="B31" s="4"/>
      <c r="C31" s="4"/>
      <c r="D31" s="110"/>
      <c r="E31" s="111"/>
      <c r="F31" s="111"/>
      <c r="G31" s="4"/>
      <c r="H31" s="4"/>
      <c r="I31" s="4"/>
      <c r="J31" s="4"/>
      <c r="K31" s="4"/>
      <c r="L31" s="114"/>
      <c r="M31" s="4"/>
    </row>
    <row r="32" spans="2:13" x14ac:dyDescent="0.25">
      <c r="B32" s="86"/>
      <c r="C32" s="86"/>
      <c r="D32" s="86"/>
      <c r="E32" s="143" t="s">
        <v>138</v>
      </c>
      <c r="F32" s="144"/>
      <c r="G32" s="87" t="s">
        <v>19</v>
      </c>
      <c r="H32" s="87" t="s">
        <v>144</v>
      </c>
      <c r="I32" s="87" t="s">
        <v>145</v>
      </c>
      <c r="J32" s="87" t="s">
        <v>146</v>
      </c>
      <c r="K32" s="87" t="s">
        <v>147</v>
      </c>
      <c r="L32" s="87" t="s">
        <v>148</v>
      </c>
      <c r="M32" s="86"/>
    </row>
    <row r="33" spans="2:13" x14ac:dyDescent="0.25">
      <c r="B33" s="88" t="s">
        <v>139</v>
      </c>
      <c r="C33" s="86" t="s">
        <v>149</v>
      </c>
      <c r="D33" s="86" t="s">
        <v>16</v>
      </c>
      <c r="E33" s="89" t="s">
        <v>154</v>
      </c>
      <c r="F33" s="89" t="s">
        <v>155</v>
      </c>
      <c r="G33" s="87" t="s">
        <v>150</v>
      </c>
      <c r="H33" s="87" t="s">
        <v>151</v>
      </c>
      <c r="I33" s="87" t="s">
        <v>152</v>
      </c>
      <c r="J33" s="87" t="s">
        <v>17</v>
      </c>
      <c r="K33" s="87" t="s">
        <v>18</v>
      </c>
      <c r="L33" s="87" t="s">
        <v>153</v>
      </c>
      <c r="M33" s="88"/>
    </row>
    <row r="34" spans="2:13" x14ac:dyDescent="0.25">
      <c r="B34" s="32">
        <v>23</v>
      </c>
      <c r="C34" s="32" t="s">
        <v>169</v>
      </c>
      <c r="D34" s="32" t="s">
        <v>170</v>
      </c>
      <c r="E34" s="90">
        <v>-2.8666872605368043E-2</v>
      </c>
      <c r="F34" s="90">
        <v>9.0571707997942008E-2</v>
      </c>
      <c r="G34" s="30">
        <v>283.89999999999998</v>
      </c>
      <c r="H34" s="91">
        <v>622.42425229999992</v>
      </c>
      <c r="I34" s="92">
        <v>2.192406665375132</v>
      </c>
      <c r="J34" s="90">
        <v>0.18522394299507144</v>
      </c>
      <c r="K34" s="93">
        <v>1.4946544236057679E-2</v>
      </c>
      <c r="L34" s="93">
        <v>0.17027739875901376</v>
      </c>
      <c r="M34" s="32"/>
    </row>
    <row r="35" spans="2:13" x14ac:dyDescent="0.25">
      <c r="B35" s="32">
        <v>24</v>
      </c>
      <c r="C35" s="32" t="s">
        <v>171</v>
      </c>
      <c r="D35" s="32" t="s">
        <v>172</v>
      </c>
      <c r="E35" s="90">
        <v>0.58805970149253728</v>
      </c>
      <c r="F35" s="90">
        <v>0.2398753894080996</v>
      </c>
      <c r="G35" s="30">
        <v>1784.1949841302171</v>
      </c>
      <c r="H35" s="91">
        <v>2831.1352251120652</v>
      </c>
      <c r="I35" s="92">
        <v>1.5867857775041467</v>
      </c>
      <c r="J35" s="90">
        <v>0.26017434000968942</v>
      </c>
      <c r="K35" s="93">
        <v>0.24601702367425893</v>
      </c>
      <c r="L35" s="93">
        <v>1.4157316335430492E-2</v>
      </c>
      <c r="M35" s="32"/>
    </row>
    <row r="36" spans="2:13" x14ac:dyDescent="0.25">
      <c r="B36" s="32">
        <v>25</v>
      </c>
      <c r="C36" s="32" t="s">
        <v>173</v>
      </c>
      <c r="D36" s="32" t="s">
        <v>174</v>
      </c>
      <c r="E36" s="90">
        <v>6.5247758275243539E-2</v>
      </c>
      <c r="F36" s="90">
        <v>-0.21237864773678028</v>
      </c>
      <c r="G36" s="30">
        <v>806.7</v>
      </c>
      <c r="H36" s="91">
        <v>1173.9778256756756</v>
      </c>
      <c r="I36" s="92">
        <v>1.4552842762807434</v>
      </c>
      <c r="J36" s="90">
        <v>0.11096218228340149</v>
      </c>
      <c r="K36" s="93">
        <v>9.8760720500259191E-2</v>
      </c>
      <c r="L36" s="93">
        <v>1.2201461783142298E-2</v>
      </c>
      <c r="M36" s="32"/>
    </row>
    <row r="37" spans="2:13" x14ac:dyDescent="0.25">
      <c r="B37" s="32">
        <v>26</v>
      </c>
      <c r="C37" s="32" t="s">
        <v>175</v>
      </c>
      <c r="D37" s="32" t="s">
        <v>176</v>
      </c>
      <c r="E37" s="90">
        <v>-2.4090217037756267E-2</v>
      </c>
      <c r="F37" s="90">
        <v>-0.2826128301506674</v>
      </c>
      <c r="G37" s="30">
        <v>705.5</v>
      </c>
      <c r="H37" s="91">
        <v>1578.2623344339622</v>
      </c>
      <c r="I37" s="92">
        <v>2.2370833939531711</v>
      </c>
      <c r="J37" s="90">
        <v>0.66830450892448434</v>
      </c>
      <c r="K37" s="93">
        <v>0.25353722841643611</v>
      </c>
      <c r="L37" s="93">
        <v>0.41476728050804823</v>
      </c>
      <c r="M37" s="32"/>
    </row>
    <row r="38" spans="2:13" x14ac:dyDescent="0.25">
      <c r="B38" s="32">
        <v>27</v>
      </c>
      <c r="C38" s="32" t="s">
        <v>177</v>
      </c>
      <c r="D38" s="32" t="s">
        <v>178</v>
      </c>
      <c r="E38" s="90">
        <v>4.5703558324089011E-2</v>
      </c>
      <c r="F38" s="90">
        <v>0.15974870989454781</v>
      </c>
      <c r="G38" s="30">
        <v>1619.3731691646749</v>
      </c>
      <c r="H38" s="91">
        <v>3221.1419132800002</v>
      </c>
      <c r="I38" s="92">
        <v>1.9891288645603344</v>
      </c>
      <c r="J38" s="90">
        <v>0.15860345959663391</v>
      </c>
      <c r="K38" s="93">
        <v>0.42838095119193276</v>
      </c>
      <c r="L38" s="93">
        <v>-0.26977749159529885</v>
      </c>
      <c r="M38" s="32"/>
    </row>
    <row r="39" spans="2:13" x14ac:dyDescent="0.25">
      <c r="B39" s="32">
        <v>28</v>
      </c>
      <c r="C39" s="32" t="s">
        <v>179</v>
      </c>
      <c r="D39" s="32" t="s">
        <v>180</v>
      </c>
      <c r="E39" s="90">
        <v>0.31271873987467269</v>
      </c>
      <c r="F39" s="90">
        <v>1.6109742689559308</v>
      </c>
      <c r="G39" s="30">
        <v>575.43304183597058</v>
      </c>
      <c r="H39" s="91">
        <v>2407.1410000000001</v>
      </c>
      <c r="I39" s="92">
        <v>4.1831817518156438</v>
      </c>
      <c r="J39" s="90">
        <v>1.1919574397986583</v>
      </c>
      <c r="K39" s="93">
        <v>1.110382754074779E-2</v>
      </c>
      <c r="L39" s="93">
        <v>1.1808536122579105</v>
      </c>
      <c r="M39" s="32"/>
    </row>
    <row r="40" spans="2:13" x14ac:dyDescent="0.25">
      <c r="B40" s="32">
        <v>29</v>
      </c>
      <c r="C40" s="32" t="s">
        <v>177</v>
      </c>
      <c r="D40" s="32" t="s">
        <v>181</v>
      </c>
      <c r="E40" s="90">
        <v>-4.757198664227491E-2</v>
      </c>
      <c r="F40" s="90">
        <v>-9.2900868889695176E-2</v>
      </c>
      <c r="G40" s="30">
        <v>998.14180804</v>
      </c>
      <c r="H40" s="91">
        <v>1577.26561855</v>
      </c>
      <c r="I40" s="92">
        <v>1.5802019370846672</v>
      </c>
      <c r="J40" s="90">
        <v>0.10428263545036318</v>
      </c>
      <c r="K40" s="93">
        <v>0.16439999999999999</v>
      </c>
      <c r="L40" s="93">
        <v>-6.0117364549636815E-2</v>
      </c>
      <c r="M40" s="32"/>
    </row>
    <row r="41" spans="2:13" x14ac:dyDescent="0.25">
      <c r="B41" s="32">
        <v>30</v>
      </c>
      <c r="C41" s="32" t="s">
        <v>182</v>
      </c>
      <c r="D41" s="32" t="s">
        <v>183</v>
      </c>
      <c r="E41" s="90">
        <v>0</v>
      </c>
      <c r="F41" s="90">
        <v>0</v>
      </c>
      <c r="G41" s="30">
        <v>88</v>
      </c>
      <c r="H41" s="91">
        <v>79.892359799999994</v>
      </c>
      <c r="I41" s="92">
        <v>0.9078677249999999</v>
      </c>
      <c r="J41" s="90">
        <v>-2.3071375817346862E-2</v>
      </c>
      <c r="K41" s="93">
        <v>4.446E-2</v>
      </c>
      <c r="L41" s="93">
        <v>-6.7531375817346861E-2</v>
      </c>
      <c r="M41" s="32"/>
    </row>
    <row r="42" spans="2:13" x14ac:dyDescent="0.25">
      <c r="B42" s="32">
        <v>31</v>
      </c>
      <c r="C42" s="32" t="s">
        <v>184</v>
      </c>
      <c r="D42" s="118" t="s">
        <v>185</v>
      </c>
      <c r="E42" s="101">
        <v>-0.13362630526893138</v>
      </c>
      <c r="F42" s="101">
        <v>1.4675982444252167</v>
      </c>
      <c r="G42" s="119">
        <v>221.99990399999999</v>
      </c>
      <c r="H42" s="102">
        <v>192.69654009999999</v>
      </c>
      <c r="I42" s="103">
        <v>0.86800280823544862</v>
      </c>
      <c r="J42" s="101">
        <v>-0.22353610321879391</v>
      </c>
      <c r="K42" s="104">
        <v>-7.2045769264784232E-2</v>
      </c>
      <c r="L42" s="104">
        <v>-0.15149033395400968</v>
      </c>
      <c r="M42" s="32"/>
    </row>
    <row r="43" spans="2:13" x14ac:dyDescent="0.25">
      <c r="B43" s="32"/>
      <c r="C43" s="32"/>
      <c r="D43" s="105"/>
      <c r="E43" s="120">
        <v>8.6419375156912434E-2</v>
      </c>
      <c r="F43" s="120">
        <v>0.33120844154495488</v>
      </c>
      <c r="G43" s="107">
        <v>7083.2429071708621</v>
      </c>
      <c r="H43" s="107">
        <v>13683.937069251702</v>
      </c>
      <c r="I43" s="121">
        <v>1.931874601589407</v>
      </c>
      <c r="J43" s="106">
        <v>0.22042003273963925</v>
      </c>
      <c r="K43" s="106">
        <v>0.12127680513840811</v>
      </c>
      <c r="L43" s="109">
        <v>9.9143227601231149E-2</v>
      </c>
      <c r="M43" s="32"/>
    </row>
    <row r="44" spans="2:13" x14ac:dyDescent="0.25">
      <c r="B44" s="4"/>
      <c r="C44" s="4"/>
      <c r="D44" s="110"/>
      <c r="E44" s="111"/>
      <c r="F44" s="111"/>
      <c r="G44" s="4"/>
      <c r="H44" s="4"/>
      <c r="I44" s="4"/>
      <c r="J44" s="4"/>
      <c r="K44" s="4"/>
      <c r="L44" s="4"/>
      <c r="M44" s="4"/>
    </row>
    <row r="45" spans="2:13" x14ac:dyDescent="0.25">
      <c r="B45" s="4"/>
      <c r="C45" s="4"/>
      <c r="D45" s="4"/>
      <c r="E45" s="4"/>
      <c r="F45" s="4"/>
      <c r="G45" s="112" t="s">
        <v>143</v>
      </c>
      <c r="I45" s="4"/>
      <c r="J45" s="85">
        <v>0.16133602619171139</v>
      </c>
      <c r="K45" s="4"/>
      <c r="L45" s="114"/>
      <c r="M45" s="4"/>
    </row>
    <row r="46" spans="2:13" x14ac:dyDescent="0.25">
      <c r="B46" s="4"/>
      <c r="C46" s="4"/>
      <c r="D46" s="4"/>
      <c r="E46" s="4"/>
      <c r="F46" s="4"/>
      <c r="G46" s="4"/>
      <c r="H46" s="4"/>
      <c r="I46" s="4"/>
      <c r="J46" s="4"/>
      <c r="K46" s="4"/>
      <c r="L46" s="116"/>
      <c r="M46" s="4"/>
    </row>
    <row r="47" spans="2:13" x14ac:dyDescent="0.25">
      <c r="B47" s="4"/>
      <c r="C47" s="4"/>
      <c r="D47" s="4"/>
      <c r="E47" s="4"/>
      <c r="F47" s="4"/>
      <c r="G47" s="4"/>
      <c r="H47" s="4"/>
      <c r="I47" s="23"/>
      <c r="J47" s="23"/>
      <c r="K47" s="23"/>
      <c r="L47" s="117"/>
      <c r="M47" s="4"/>
    </row>
    <row r="48" spans="2:13" x14ac:dyDescent="0.25">
      <c r="B48" s="4"/>
      <c r="C48" s="4"/>
      <c r="D48" s="4"/>
      <c r="E48" s="4"/>
      <c r="F48" s="4"/>
      <c r="G48" s="4"/>
      <c r="H48" s="4"/>
      <c r="I48" s="23"/>
      <c r="J48" s="23"/>
      <c r="K48" s="23"/>
      <c r="L48" s="117"/>
      <c r="M48" s="4"/>
    </row>
    <row r="49" spans="2:13" x14ac:dyDescent="0.25">
      <c r="B49" s="86"/>
      <c r="C49" s="86"/>
      <c r="D49" s="86"/>
      <c r="E49" s="143" t="s">
        <v>138</v>
      </c>
      <c r="F49" s="144"/>
      <c r="G49" s="87" t="s">
        <v>19</v>
      </c>
      <c r="H49" s="87" t="s">
        <v>144</v>
      </c>
      <c r="I49" s="87" t="s">
        <v>145</v>
      </c>
      <c r="J49" s="87" t="s">
        <v>146</v>
      </c>
      <c r="K49" s="87" t="s">
        <v>147</v>
      </c>
      <c r="L49" s="87" t="s">
        <v>148</v>
      </c>
      <c r="M49" s="86"/>
    </row>
    <row r="50" spans="2:13" x14ac:dyDescent="0.25">
      <c r="B50" s="88" t="s">
        <v>139</v>
      </c>
      <c r="C50" s="86" t="s">
        <v>149</v>
      </c>
      <c r="D50" s="86" t="s">
        <v>16</v>
      </c>
      <c r="E50" s="89" t="s">
        <v>154</v>
      </c>
      <c r="F50" s="89" t="s">
        <v>155</v>
      </c>
      <c r="G50" s="87" t="s">
        <v>150</v>
      </c>
      <c r="H50" s="87" t="s">
        <v>151</v>
      </c>
      <c r="I50" s="87" t="s">
        <v>152</v>
      </c>
      <c r="J50" s="87" t="s">
        <v>17</v>
      </c>
      <c r="K50" s="87" t="s">
        <v>18</v>
      </c>
      <c r="L50" s="87" t="s">
        <v>153</v>
      </c>
      <c r="M50" s="88"/>
    </row>
    <row r="51" spans="2:13" x14ac:dyDescent="0.25">
      <c r="B51" s="4">
        <v>23</v>
      </c>
      <c r="C51" s="4" t="s">
        <v>169</v>
      </c>
      <c r="D51" s="4" t="s">
        <v>170</v>
      </c>
      <c r="E51" s="122">
        <v>-2.8666872605368043E-2</v>
      </c>
      <c r="F51" s="122">
        <v>9.0571707997942008E-2</v>
      </c>
      <c r="G51" s="66">
        <v>283.89999999999998</v>
      </c>
      <c r="H51" s="123">
        <v>622.42425229999992</v>
      </c>
      <c r="I51" s="124">
        <v>2.192406665375132</v>
      </c>
      <c r="J51" s="122">
        <v>0.18522394299507144</v>
      </c>
      <c r="K51" s="114">
        <v>1.4946544236057679E-2</v>
      </c>
      <c r="L51" s="114">
        <v>0.17027739875901376</v>
      </c>
      <c r="M51" s="4"/>
    </row>
    <row r="52" spans="2:13" x14ac:dyDescent="0.25">
      <c r="B52" s="4">
        <v>24</v>
      </c>
      <c r="C52" s="4" t="s">
        <v>173</v>
      </c>
      <c r="D52" s="4" t="s">
        <v>174</v>
      </c>
      <c r="E52" s="122">
        <v>6.5247758275243539E-2</v>
      </c>
      <c r="F52" s="122">
        <v>-0.21237864773678028</v>
      </c>
      <c r="G52" s="66">
        <v>806.7</v>
      </c>
      <c r="H52" s="123">
        <v>1173.9778256756756</v>
      </c>
      <c r="I52" s="124">
        <v>1.4552842762807434</v>
      </c>
      <c r="J52" s="122">
        <v>0.11096218228340149</v>
      </c>
      <c r="K52" s="114">
        <v>9.8760720500259191E-2</v>
      </c>
      <c r="L52" s="114">
        <v>1.2201461783142298E-2</v>
      </c>
      <c r="M52" s="4"/>
    </row>
    <row r="53" spans="2:13" x14ac:dyDescent="0.25">
      <c r="B53" s="4">
        <v>25</v>
      </c>
      <c r="C53" s="4" t="s">
        <v>175</v>
      </c>
      <c r="D53" s="4" t="s">
        <v>176</v>
      </c>
      <c r="E53" s="122">
        <v>-2.4090217037756267E-2</v>
      </c>
      <c r="F53" s="122">
        <v>-0.2826128301506674</v>
      </c>
      <c r="G53" s="66">
        <v>705.5</v>
      </c>
      <c r="H53" s="123">
        <v>1578.2623344339622</v>
      </c>
      <c r="I53" s="124">
        <v>2.2370833939531711</v>
      </c>
      <c r="J53" s="122">
        <v>0.66830450892448434</v>
      </c>
      <c r="K53" s="114">
        <v>0.25353722841643611</v>
      </c>
      <c r="L53" s="114">
        <v>0.41476728050804823</v>
      </c>
      <c r="M53" s="4"/>
    </row>
    <row r="54" spans="2:13" x14ac:dyDescent="0.25">
      <c r="B54" s="4">
        <v>26</v>
      </c>
      <c r="C54" s="4" t="s">
        <v>179</v>
      </c>
      <c r="D54" s="4" t="s">
        <v>180</v>
      </c>
      <c r="E54" s="122">
        <v>0.31271873987467269</v>
      </c>
      <c r="F54" s="122">
        <v>1.6109742689559308</v>
      </c>
      <c r="G54" s="66">
        <v>575.43304183597058</v>
      </c>
      <c r="H54" s="123">
        <v>2407.1410000000001</v>
      </c>
      <c r="I54" s="124">
        <v>4.1831817518156438</v>
      </c>
      <c r="J54" s="122">
        <v>1.1919574397986583</v>
      </c>
      <c r="K54" s="114">
        <v>1.110382754074779E-2</v>
      </c>
      <c r="L54" s="114">
        <v>1.1808536122579105</v>
      </c>
      <c r="M54" s="4"/>
    </row>
    <row r="55" spans="2:13" x14ac:dyDescent="0.25">
      <c r="B55" s="4">
        <v>27</v>
      </c>
      <c r="C55" s="4" t="s">
        <v>177</v>
      </c>
      <c r="D55" s="4" t="s">
        <v>181</v>
      </c>
      <c r="E55" s="122">
        <v>-4.757198664227491E-2</v>
      </c>
      <c r="F55" s="122">
        <v>-9.2900868889695176E-2</v>
      </c>
      <c r="G55" s="66">
        <v>998.14180804</v>
      </c>
      <c r="H55" s="123">
        <v>1577.26561855</v>
      </c>
      <c r="I55" s="124">
        <v>1.5802019370846672</v>
      </c>
      <c r="J55" s="122">
        <v>0.10428263545036318</v>
      </c>
      <c r="K55" s="114">
        <v>0.16439999999999999</v>
      </c>
      <c r="L55" s="114">
        <v>-6.0117364549636815E-2</v>
      </c>
      <c r="M55" s="4"/>
    </row>
    <row r="56" spans="2:13" x14ac:dyDescent="0.25">
      <c r="B56" s="4">
        <v>28</v>
      </c>
      <c r="C56" s="4" t="s">
        <v>182</v>
      </c>
      <c r="D56" s="4" t="s">
        <v>183</v>
      </c>
      <c r="E56" s="122">
        <v>0</v>
      </c>
      <c r="F56" s="122">
        <v>0</v>
      </c>
      <c r="G56" s="66">
        <v>88</v>
      </c>
      <c r="H56" s="123">
        <v>79.892359799999994</v>
      </c>
      <c r="I56" s="124">
        <v>0.9078677249999999</v>
      </c>
      <c r="J56" s="122">
        <v>-2.3071375817346862E-2</v>
      </c>
      <c r="K56" s="114">
        <v>4.446E-2</v>
      </c>
      <c r="L56" s="114">
        <v>-6.7531375817346861E-2</v>
      </c>
      <c r="M56" s="4"/>
    </row>
    <row r="57" spans="2:13" x14ac:dyDescent="0.25">
      <c r="B57" s="4">
        <v>29</v>
      </c>
      <c r="C57" s="4" t="s">
        <v>184</v>
      </c>
      <c r="D57" s="125" t="s">
        <v>185</v>
      </c>
      <c r="E57" s="116">
        <v>-0.13362630526893138</v>
      </c>
      <c r="F57" s="116">
        <v>1.4675982444252167</v>
      </c>
      <c r="G57" s="126">
        <v>221.99990399999999</v>
      </c>
      <c r="H57" s="127">
        <v>192.69654009999999</v>
      </c>
      <c r="I57" s="128">
        <v>0.86800280823544862</v>
      </c>
      <c r="J57" s="116">
        <v>-0.22353610321879391</v>
      </c>
      <c r="K57" s="129">
        <v>-7.2045769264784232E-2</v>
      </c>
      <c r="L57" s="129">
        <v>-0.15149033395400968</v>
      </c>
      <c r="M57" s="4"/>
    </row>
    <row r="58" spans="2:13" x14ac:dyDescent="0.25">
      <c r="B58" s="4"/>
      <c r="C58" s="4"/>
      <c r="D58" s="130"/>
      <c r="E58" s="131">
        <v>2.0573016656512233E-2</v>
      </c>
      <c r="F58" s="131">
        <v>0.36875026780027814</v>
      </c>
      <c r="G58" s="132">
        <v>3679.6747538759701</v>
      </c>
      <c r="H58" s="132">
        <v>7631.6599308596378</v>
      </c>
      <c r="I58" s="133">
        <v>2.0740039382070008</v>
      </c>
      <c r="J58" s="117">
        <v>0.3673999661457687</v>
      </c>
      <c r="K58" s="117">
        <v>0.11446295898285544</v>
      </c>
      <c r="L58" s="134">
        <v>0.25293700716291323</v>
      </c>
      <c r="M58" s="4"/>
    </row>
  </sheetData>
  <mergeCells count="3">
    <mergeCell ref="E2:F2"/>
    <mergeCell ref="E32:F32"/>
    <mergeCell ref="E49:F4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EECDA-BE30-49E3-B6CA-3E3274EADB59}">
  <dimension ref="E3:S43"/>
  <sheetViews>
    <sheetView workbookViewId="0">
      <selection activeCell="J25" sqref="J25"/>
    </sheetView>
  </sheetViews>
  <sheetFormatPr defaultRowHeight="15" x14ac:dyDescent="0.25"/>
  <sheetData>
    <row r="3" spans="5:19" x14ac:dyDescent="0.25">
      <c r="E3" s="23" t="s">
        <v>117</v>
      </c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</row>
    <row r="17" spans="5:19" x14ac:dyDescent="0.25"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5:19" x14ac:dyDescent="0.25">
      <c r="E18" s="23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pans="5:19" x14ac:dyDescent="0.25">
      <c r="E19" s="1" t="s">
        <v>0</v>
      </c>
      <c r="F19" s="2" t="s">
        <v>1</v>
      </c>
      <c r="G19" s="2" t="s">
        <v>2</v>
      </c>
      <c r="H19" s="2" t="s">
        <v>3</v>
      </c>
      <c r="I19" s="2" t="s">
        <v>4</v>
      </c>
      <c r="J19" s="2" t="s">
        <v>5</v>
      </c>
      <c r="K19" s="2" t="s">
        <v>6</v>
      </c>
      <c r="L19" s="2" t="s">
        <v>7</v>
      </c>
      <c r="M19" s="2" t="s">
        <v>8</v>
      </c>
      <c r="N19" s="2" t="s">
        <v>9</v>
      </c>
      <c r="O19" s="2" t="s">
        <v>10</v>
      </c>
      <c r="P19" s="2" t="s">
        <v>11</v>
      </c>
      <c r="Q19" s="2" t="s">
        <v>12</v>
      </c>
      <c r="R19" s="2" t="s">
        <v>13</v>
      </c>
      <c r="S19" s="3" t="s">
        <v>14</v>
      </c>
    </row>
    <row r="20" spans="5:19" x14ac:dyDescent="0.25">
      <c r="E20" s="5">
        <v>2006</v>
      </c>
      <c r="F20" s="6">
        <v>5.7999999999999996E-2</v>
      </c>
      <c r="G20" s="6">
        <v>4.4999999999999998E-2</v>
      </c>
      <c r="H20" s="6">
        <v>9.0000000000000011E-3</v>
      </c>
      <c r="I20" s="6">
        <v>0.06</v>
      </c>
      <c r="J20" s="6">
        <v>2.2000000000000002E-2</v>
      </c>
      <c r="K20" s="6">
        <v>-5.5999999999999994E-2</v>
      </c>
      <c r="L20" s="6">
        <v>2.3E-2</v>
      </c>
      <c r="M20" s="6">
        <v>5.4000000000000006E-2</v>
      </c>
      <c r="N20" s="6">
        <v>9.3000000000000013E-2</v>
      </c>
      <c r="O20" s="6">
        <v>8.5000000000000006E-2</v>
      </c>
      <c r="P20" s="6">
        <v>0.111</v>
      </c>
      <c r="Q20" s="6">
        <v>3.0000000000000001E-3</v>
      </c>
      <c r="R20" s="6">
        <v>0.625</v>
      </c>
      <c r="S20" s="6">
        <v>0.18899999999999997</v>
      </c>
    </row>
    <row r="21" spans="5:19" x14ac:dyDescent="0.25">
      <c r="E21" s="8">
        <v>2007</v>
      </c>
      <c r="F21" s="9">
        <v>3.3000000000000002E-2</v>
      </c>
      <c r="G21" s="9">
        <v>3.0000000000000001E-3</v>
      </c>
      <c r="H21" s="9">
        <v>4.2000000000000003E-2</v>
      </c>
      <c r="I21" s="9">
        <v>0.04</v>
      </c>
      <c r="J21" s="9">
        <v>1.7000000000000001E-2</v>
      </c>
      <c r="K21" s="9">
        <v>-3.9E-2</v>
      </c>
      <c r="L21" s="9">
        <v>-0.02</v>
      </c>
      <c r="M21" s="9">
        <v>-2.4E-2</v>
      </c>
      <c r="N21" s="9">
        <v>-4.9000000000000002E-2</v>
      </c>
      <c r="O21" s="9">
        <v>-2.4E-2</v>
      </c>
      <c r="P21" s="9">
        <v>-4.7E-2</v>
      </c>
      <c r="Q21" s="9">
        <v>-0.01</v>
      </c>
      <c r="R21" s="6">
        <v>-8.1000000000000003E-2</v>
      </c>
      <c r="S21" s="6">
        <v>9.1999999999999998E-2</v>
      </c>
    </row>
    <row r="22" spans="5:19" x14ac:dyDescent="0.25">
      <c r="E22" s="8">
        <v>2008</v>
      </c>
      <c r="F22" s="9">
        <v>-0.109</v>
      </c>
      <c r="G22" s="9">
        <v>7.2000000000000008E-2</v>
      </c>
      <c r="H22" s="9">
        <v>-3.0000000000000001E-3</v>
      </c>
      <c r="I22" s="9">
        <v>-4.7E-2</v>
      </c>
      <c r="J22" s="9">
        <v>2.1000000000000001E-2</v>
      </c>
      <c r="K22" s="9">
        <v>-0.17899999999999999</v>
      </c>
      <c r="L22" s="9">
        <v>8.0000000000000002E-3</v>
      </c>
      <c r="M22" s="9">
        <v>3.7999999999999999E-2</v>
      </c>
      <c r="N22" s="9">
        <v>-0.13900000000000001</v>
      </c>
      <c r="O22" s="9">
        <v>-0.127</v>
      </c>
      <c r="P22" s="9">
        <v>-4.0000000000000001E-3</v>
      </c>
      <c r="Q22" s="9">
        <v>-1.4999999999999999E-2</v>
      </c>
      <c r="R22" s="6">
        <v>-0.41399999999999998</v>
      </c>
      <c r="S22" s="6">
        <v>-0.436</v>
      </c>
    </row>
    <row r="23" spans="5:19" x14ac:dyDescent="0.25">
      <c r="E23" s="8">
        <v>2009</v>
      </c>
      <c r="F23" s="9">
        <v>5.0000000000000001E-3</v>
      </c>
      <c r="G23" s="9">
        <v>2.2000000000000002E-2</v>
      </c>
      <c r="H23" s="9">
        <v>3.1E-2</v>
      </c>
      <c r="I23" s="9">
        <v>0.217</v>
      </c>
      <c r="J23" s="9">
        <v>6.4000000000000001E-2</v>
      </c>
      <c r="K23" s="9">
        <v>-1.2E-2</v>
      </c>
      <c r="L23" s="9">
        <v>8.3000000000000004E-2</v>
      </c>
      <c r="M23" s="9">
        <v>8.6999999999999994E-2</v>
      </c>
      <c r="N23" s="9">
        <v>3.6000000000000004E-2</v>
      </c>
      <c r="O23" s="9">
        <v>4.8000000000000001E-2</v>
      </c>
      <c r="P23" s="9">
        <v>2.7999999999999997E-2</v>
      </c>
      <c r="Q23" s="9">
        <v>2.3E-2</v>
      </c>
      <c r="R23" s="6">
        <v>0.82099999999999995</v>
      </c>
      <c r="S23" s="6">
        <v>0.33299999999999996</v>
      </c>
    </row>
    <row r="24" spans="5:19" x14ac:dyDescent="0.25">
      <c r="E24" s="8">
        <v>2010</v>
      </c>
      <c r="F24" s="9">
        <v>0.02</v>
      </c>
      <c r="G24" s="9">
        <v>-0.02</v>
      </c>
      <c r="H24" s="9">
        <v>7.2000000000000008E-2</v>
      </c>
      <c r="I24" s="9">
        <v>9.5000000000000001E-2</v>
      </c>
      <c r="J24" s="9">
        <v>-8.5999999999999993E-2</v>
      </c>
      <c r="K24" s="9">
        <v>-2.6000000000000002E-2</v>
      </c>
      <c r="L24" s="9">
        <v>7.400000000000001E-2</v>
      </c>
      <c r="M24" s="9">
        <v>-5.5E-2</v>
      </c>
      <c r="N24" s="9">
        <v>0.13300000000000001</v>
      </c>
      <c r="O24" s="9">
        <v>-8.0000000000000002E-3</v>
      </c>
      <c r="P24" s="9">
        <v>0.01</v>
      </c>
      <c r="Q24" s="9">
        <v>6.8000000000000005E-2</v>
      </c>
      <c r="R24" s="6">
        <v>0.28300000000000003</v>
      </c>
      <c r="S24" s="6">
        <v>0.121</v>
      </c>
    </row>
    <row r="25" spans="5:19" x14ac:dyDescent="0.25">
      <c r="E25" s="8">
        <v>2011</v>
      </c>
      <c r="F25" s="9">
        <v>-0.02</v>
      </c>
      <c r="G25" s="9">
        <v>-1.2E-2</v>
      </c>
      <c r="H25" s="9">
        <v>5.5E-2</v>
      </c>
      <c r="I25" s="9">
        <v>-3.0000000000000001E-3</v>
      </c>
      <c r="J25" s="9">
        <v>-2.4E-2</v>
      </c>
      <c r="K25" s="9">
        <v>-4.2000000000000003E-2</v>
      </c>
      <c r="L25" s="9">
        <v>-3.2000000000000001E-2</v>
      </c>
      <c r="M25" s="9">
        <v>-4.2000000000000003E-2</v>
      </c>
      <c r="N25" s="9">
        <v>-0.04</v>
      </c>
      <c r="O25" s="9">
        <v>5.2000000000000005E-2</v>
      </c>
      <c r="P25" s="9">
        <v>-3.7000000000000005E-2</v>
      </c>
      <c r="Q25" s="9">
        <v>0.14199999999999999</v>
      </c>
      <c r="R25" s="6">
        <v>-0.02</v>
      </c>
      <c r="S25" s="6">
        <v>-9.9000000000000005E-2</v>
      </c>
    </row>
    <row r="26" spans="5:19" x14ac:dyDescent="0.25">
      <c r="E26" s="8">
        <v>2012</v>
      </c>
      <c r="F26" s="9">
        <v>5.9000000000000004E-2</v>
      </c>
      <c r="G26" s="9">
        <v>0.11199999999999999</v>
      </c>
      <c r="H26" s="9">
        <v>-5.0999999999999997E-2</v>
      </c>
      <c r="I26" s="9">
        <v>-8.0000000000000002E-3</v>
      </c>
      <c r="J26" s="9">
        <v>-6.7000000000000004E-2</v>
      </c>
      <c r="K26" s="9">
        <v>-1.8000000000000002E-2</v>
      </c>
      <c r="L26" s="9">
        <v>-2.7999999999999997E-2</v>
      </c>
      <c r="M26" s="9">
        <v>2.1000000000000001E-2</v>
      </c>
      <c r="N26" s="9">
        <v>0.04</v>
      </c>
      <c r="O26" s="9">
        <v>-3.4000000000000002E-2</v>
      </c>
      <c r="P26" s="9">
        <v>1.9E-2</v>
      </c>
      <c r="Q26" s="9">
        <v>1.7000000000000001E-2</v>
      </c>
      <c r="R26" s="6">
        <v>0.05</v>
      </c>
      <c r="S26" s="6">
        <v>0.13800000000000001</v>
      </c>
    </row>
    <row r="27" spans="5:19" x14ac:dyDescent="0.25">
      <c r="E27" s="8">
        <v>2013</v>
      </c>
      <c r="F27" s="9">
        <v>7.5999999999999998E-2</v>
      </c>
      <c r="G27" s="9">
        <v>6.4000000000000001E-2</v>
      </c>
      <c r="H27" s="9">
        <v>1.4999999999999999E-2</v>
      </c>
      <c r="I27" s="9">
        <v>-4.2999999999999997E-2</v>
      </c>
      <c r="J27" s="9">
        <v>5.4000000000000006E-2</v>
      </c>
      <c r="K27" s="9">
        <v>-3.1E-2</v>
      </c>
      <c r="L27" s="9">
        <v>8.3000000000000004E-2</v>
      </c>
      <c r="M27" s="9">
        <v>-4.0000000000000001E-3</v>
      </c>
      <c r="N27" s="9">
        <v>5.2000000000000005E-2</v>
      </c>
      <c r="O27" s="9">
        <v>3.7000000000000005E-2</v>
      </c>
      <c r="P27" s="9">
        <v>2.4E-2</v>
      </c>
      <c r="Q27" s="9">
        <v>5.0000000000000001E-3</v>
      </c>
      <c r="R27" s="6">
        <v>0.376</v>
      </c>
      <c r="S27" s="6">
        <v>0.21100000000000002</v>
      </c>
    </row>
    <row r="28" spans="5:19" x14ac:dyDescent="0.25">
      <c r="E28" s="8">
        <v>2014</v>
      </c>
      <c r="F28" s="9">
        <v>6.5000000000000002E-2</v>
      </c>
      <c r="G28" s="9">
        <v>7.400000000000001E-2</v>
      </c>
      <c r="H28" s="9">
        <v>6.0000000000000001E-3</v>
      </c>
      <c r="I28" s="9">
        <v>2.2000000000000002E-2</v>
      </c>
      <c r="J28" s="9">
        <v>1.6E-2</v>
      </c>
      <c r="K28" s="9">
        <v>0.01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6">
        <v>0.20699999999999999</v>
      </c>
      <c r="S28" s="6">
        <v>0.05</v>
      </c>
    </row>
    <row r="29" spans="5:19" x14ac:dyDescent="0.25">
      <c r="E29" s="13"/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5">
        <v>0.161</v>
      </c>
      <c r="S29" s="15">
        <v>4.2999999999999997E-2</v>
      </c>
    </row>
    <row r="30" spans="5:19" x14ac:dyDescent="0.25"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</row>
    <row r="31" spans="5:19" x14ac:dyDescent="0.25">
      <c r="E31" s="1"/>
      <c r="F31" s="2" t="s">
        <v>1</v>
      </c>
      <c r="G31" s="2" t="s">
        <v>2</v>
      </c>
      <c r="H31" s="2" t="s">
        <v>3</v>
      </c>
      <c r="I31" s="2" t="s">
        <v>4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2" t="s">
        <v>12</v>
      </c>
      <c r="R31" s="3" t="s">
        <v>13</v>
      </c>
      <c r="S31" s="17" t="s">
        <v>14</v>
      </c>
    </row>
    <row r="32" spans="5:19" x14ac:dyDescent="0.25">
      <c r="E32" s="5">
        <v>2015</v>
      </c>
      <c r="F32" s="6">
        <v>0</v>
      </c>
      <c r="G32" s="6">
        <v>3.0000000000000001E-3</v>
      </c>
      <c r="H32" s="6">
        <v>2.2000000000000002E-2</v>
      </c>
      <c r="I32" s="6">
        <v>1.4999999999999999E-2</v>
      </c>
      <c r="J32" s="6">
        <v>2.3E-2</v>
      </c>
      <c r="K32" s="6">
        <v>-2.7999999999999997E-2</v>
      </c>
      <c r="L32" s="6">
        <v>1.7000000000000001E-2</v>
      </c>
      <c r="M32" s="6">
        <v>-3.1E-2</v>
      </c>
      <c r="N32" s="6">
        <v>-6.0000000000000001E-3</v>
      </c>
      <c r="O32" s="6">
        <v>8.0000000000000002E-3</v>
      </c>
      <c r="P32" s="6">
        <v>0.05</v>
      </c>
      <c r="Q32" s="6">
        <v>0.02</v>
      </c>
      <c r="R32" s="6">
        <v>9.3000000000000013E-2</v>
      </c>
      <c r="S32" s="6">
        <v>-2.5000000000000001E-2</v>
      </c>
    </row>
    <row r="33" spans="5:19" x14ac:dyDescent="0.25">
      <c r="E33" s="8">
        <v>2016</v>
      </c>
      <c r="F33" s="9">
        <v>-4.8000000000000001E-2</v>
      </c>
      <c r="G33" s="9">
        <v>1.3000000000000001E-2</v>
      </c>
      <c r="H33" s="9">
        <v>2E-3</v>
      </c>
      <c r="I33" s="9">
        <v>4.4000000000000004E-2</v>
      </c>
      <c r="J33" s="9">
        <v>2.7000000000000003E-2</v>
      </c>
      <c r="K33" s="9">
        <v>-2.5000000000000001E-2</v>
      </c>
      <c r="L33" s="9">
        <v>3.2000000000000001E-2</v>
      </c>
      <c r="M33" s="9">
        <v>7.4999999999999997E-2</v>
      </c>
      <c r="N33" s="9">
        <v>3.1E-2</v>
      </c>
      <c r="O33" s="9">
        <v>1.1000000000000001E-2</v>
      </c>
      <c r="P33" s="9">
        <v>4.2000000000000003E-2</v>
      </c>
      <c r="Q33" s="9">
        <v>4.0999999999999995E-2</v>
      </c>
      <c r="R33" s="6">
        <v>0.26600000000000001</v>
      </c>
      <c r="S33" s="6">
        <v>6.2E-2</v>
      </c>
    </row>
    <row r="34" spans="5:19" x14ac:dyDescent="0.25">
      <c r="E34" s="8">
        <v>2017</v>
      </c>
      <c r="F34" s="9">
        <v>5.4000000000000006E-2</v>
      </c>
      <c r="G34" s="9">
        <v>4.4999999999999998E-2</v>
      </c>
      <c r="H34" s="9">
        <v>5.0000000000000001E-3</v>
      </c>
      <c r="I34" s="9">
        <v>8.5000000000000006E-2</v>
      </c>
      <c r="J34" s="9">
        <v>-3.1E-2</v>
      </c>
      <c r="K34" s="9">
        <v>-0.01</v>
      </c>
      <c r="L34" s="9">
        <v>-9.0000000000000011E-3</v>
      </c>
      <c r="M34" s="9">
        <v>-3.9E-2</v>
      </c>
      <c r="N34" s="9">
        <v>2.2000000000000002E-2</v>
      </c>
      <c r="O34" s="9">
        <v>-3.7000000000000005E-2</v>
      </c>
      <c r="P34" s="9">
        <v>-6.0000000000000001E-3</v>
      </c>
      <c r="Q34" s="9">
        <v>-2.7000000000000003E-2</v>
      </c>
      <c r="R34" s="6">
        <v>4.4000000000000004E-2</v>
      </c>
      <c r="S34" s="6">
        <v>0.217</v>
      </c>
    </row>
    <row r="35" spans="5:19" x14ac:dyDescent="0.25">
      <c r="E35" s="8">
        <v>2018</v>
      </c>
      <c r="F35" s="9">
        <v>4.4999999999999998E-2</v>
      </c>
      <c r="G35" s="9">
        <v>-1E-3</v>
      </c>
      <c r="H35" s="9">
        <v>-1.6E-2</v>
      </c>
      <c r="I35" s="9">
        <v>0.01</v>
      </c>
      <c r="J35" s="9">
        <v>3.7000000000000005E-2</v>
      </c>
      <c r="K35" s="9">
        <v>-5.0000000000000001E-3</v>
      </c>
      <c r="L35" s="9">
        <v>4.0000000000000001E-3</v>
      </c>
      <c r="M35" s="9">
        <v>-8.0000000000000002E-3</v>
      </c>
      <c r="N35" s="9">
        <v>-1.9E-2</v>
      </c>
      <c r="O35" s="9">
        <v>-3.7999999999999999E-2</v>
      </c>
      <c r="P35" s="9">
        <v>-0.06</v>
      </c>
      <c r="Q35" s="9">
        <v>-7.6999999999999999E-2</v>
      </c>
      <c r="R35" s="6">
        <v>-0.128</v>
      </c>
      <c r="S35" s="6">
        <v>-0.111</v>
      </c>
    </row>
    <row r="36" spans="5:19" x14ac:dyDescent="0.25">
      <c r="E36" s="8">
        <v>2019</v>
      </c>
      <c r="F36" s="9">
        <v>5.7999999999999996E-2</v>
      </c>
      <c r="G36" s="9">
        <v>1.3999999999999999E-2</v>
      </c>
      <c r="H36" s="9">
        <v>-3.9E-2</v>
      </c>
      <c r="I36" s="9">
        <v>4.9000000000000002E-2</v>
      </c>
      <c r="J36" s="9">
        <v>-7.4999999999999997E-2</v>
      </c>
      <c r="K36" s="9">
        <v>2E-3</v>
      </c>
      <c r="L36" s="9">
        <v>-5.2999999999999999E-2</v>
      </c>
      <c r="M36" s="9">
        <v>-9.6999999999999989E-2</v>
      </c>
      <c r="N36" s="9">
        <v>1.7000000000000001E-2</v>
      </c>
      <c r="O36" s="9">
        <v>-1E-3</v>
      </c>
      <c r="P36" s="9">
        <v>4.8000000000000001E-2</v>
      </c>
      <c r="Q36" s="9">
        <v>3.2000000000000001E-2</v>
      </c>
      <c r="R36" s="6">
        <v>-5.9000000000000004E-2</v>
      </c>
      <c r="S36" s="6">
        <v>0.23899999999999999</v>
      </c>
    </row>
    <row r="37" spans="5:19" x14ac:dyDescent="0.25">
      <c r="E37" s="8">
        <v>2020</v>
      </c>
      <c r="F37" s="9">
        <v>6.0000000000000001E-3</v>
      </c>
      <c r="G37" s="9">
        <v>-8.4000000000000005E-2</v>
      </c>
      <c r="H37" s="9">
        <v>-0.185</v>
      </c>
      <c r="I37" s="9">
        <v>0.11900000000000001</v>
      </c>
      <c r="J37" s="9">
        <v>-2E-3</v>
      </c>
      <c r="K37" s="9">
        <v>0.03</v>
      </c>
      <c r="L37" s="9">
        <v>0.03</v>
      </c>
      <c r="M37" s="9">
        <v>0.1</v>
      </c>
      <c r="N37" s="9">
        <v>2.6000000000000002E-2</v>
      </c>
      <c r="O37" s="9">
        <v>-5.9000000000000004E-2</v>
      </c>
      <c r="P37" s="9">
        <v>0.126</v>
      </c>
      <c r="Q37" s="9">
        <v>9.6999999999999989E-2</v>
      </c>
      <c r="R37" s="6">
        <v>0.16899999999999998</v>
      </c>
      <c r="S37" s="6">
        <v>0.14400000000000002</v>
      </c>
    </row>
    <row r="38" spans="5:19" x14ac:dyDescent="0.25">
      <c r="E38" s="8">
        <v>2021</v>
      </c>
      <c r="F38" s="9">
        <v>4.8000000000000001E-2</v>
      </c>
      <c r="G38" s="9">
        <v>0.875</v>
      </c>
      <c r="H38" s="9">
        <v>2.7999999999999997E-2</v>
      </c>
      <c r="I38" s="9">
        <v>1.8000000000000002E-2</v>
      </c>
      <c r="J38" s="9">
        <v>-4.0000000000000001E-3</v>
      </c>
      <c r="K38" s="9">
        <v>4.0000000000000001E-3</v>
      </c>
      <c r="L38" s="9">
        <v>-4.0000000000000001E-3</v>
      </c>
      <c r="M38" s="9">
        <v>0.01</v>
      </c>
      <c r="N38" s="9">
        <v>0.26200000000000001</v>
      </c>
      <c r="O38" s="9">
        <v>0.107</v>
      </c>
      <c r="P38" s="9">
        <v>2.4E-2</v>
      </c>
      <c r="Q38" s="9">
        <v>1.4999999999999999E-2</v>
      </c>
      <c r="R38" s="6">
        <v>2.0049999999999999</v>
      </c>
      <c r="S38" s="6">
        <v>0.16500000000000001</v>
      </c>
    </row>
    <row r="39" spans="5:19" x14ac:dyDescent="0.25">
      <c r="E39" s="8">
        <v>2022</v>
      </c>
      <c r="F39" s="9">
        <v>-1.2E-2</v>
      </c>
      <c r="G39" s="9">
        <v>-1.7000000000000001E-2</v>
      </c>
      <c r="H39" s="9">
        <v>5.0000000000000001E-3</v>
      </c>
      <c r="I39" s="9">
        <v>-2.8999999999999998E-2</v>
      </c>
      <c r="J39" s="9">
        <v>-6.9999999999999993E-3</v>
      </c>
      <c r="K39" s="9">
        <v>-3.9E-2</v>
      </c>
      <c r="L39" s="9">
        <v>4.0000000000000001E-3</v>
      </c>
      <c r="M39" s="9">
        <v>-3.6000000000000004E-2</v>
      </c>
      <c r="N39" s="9">
        <v>-5.2999999999999999E-2</v>
      </c>
      <c r="O39" s="9">
        <v>6.3E-2</v>
      </c>
      <c r="P39" s="9">
        <v>0.14400000000000002</v>
      </c>
      <c r="Q39" s="9">
        <v>-6.0000000000000001E-3</v>
      </c>
      <c r="R39" s="6">
        <v>3.0000000000000001E-3</v>
      </c>
      <c r="S39" s="6">
        <v>-0.19800000000000001</v>
      </c>
    </row>
    <row r="40" spans="5:19" x14ac:dyDescent="0.25">
      <c r="E40" s="8">
        <v>2023</v>
      </c>
      <c r="F40" s="9">
        <v>1.0000000000000001E-5</v>
      </c>
      <c r="G40" s="9">
        <v>-6.5000000000000002E-2</v>
      </c>
      <c r="H40" s="9">
        <v>-7.0000000000000007E-2</v>
      </c>
      <c r="I40" s="9">
        <v>4.9000000000000002E-2</v>
      </c>
      <c r="J40" s="9">
        <v>-2E-3</v>
      </c>
      <c r="K40" s="9">
        <v>6.4000000000000001E-2</v>
      </c>
      <c r="L40" s="9">
        <v>5.2000000000000005E-2</v>
      </c>
      <c r="M40" s="9">
        <v>-2.1000000000000001E-2</v>
      </c>
      <c r="N40" s="9">
        <v>-1.7000000000000001E-2</v>
      </c>
      <c r="O40" s="9">
        <v>-3.3000000000000002E-2</v>
      </c>
      <c r="P40" s="9">
        <v>1.2E-2</v>
      </c>
      <c r="Q40" s="9">
        <v>3.6000000000000004E-2</v>
      </c>
      <c r="R40" s="6">
        <v>-5.0000000000000001E-3</v>
      </c>
      <c r="S40" s="6">
        <v>0.19500000000000001</v>
      </c>
    </row>
    <row r="41" spans="5:19" x14ac:dyDescent="0.25">
      <c r="E41" s="8">
        <v>2024</v>
      </c>
      <c r="F41" s="9">
        <v>2.5000000000000001E-2</v>
      </c>
      <c r="G41" s="9">
        <v>2.7000000000000003E-2</v>
      </c>
      <c r="H41" s="9">
        <v>5.0999999999999997E-2</v>
      </c>
      <c r="I41" s="9">
        <v>1.2E-2</v>
      </c>
      <c r="J41" s="9">
        <v>1.6E-2</v>
      </c>
      <c r="K41" s="9">
        <v>-8.0000000000000002E-3</v>
      </c>
      <c r="L41" s="9">
        <v>0.06</v>
      </c>
      <c r="M41" s="9">
        <v>-1.3999999999999999E-2</v>
      </c>
      <c r="N41" s="9">
        <v>2E-3</v>
      </c>
      <c r="O41" s="9">
        <v>-1E-3</v>
      </c>
      <c r="P41" s="9">
        <v>5.2999999999999999E-2</v>
      </c>
      <c r="Q41" s="9">
        <v>5.0000000000000001E-3</v>
      </c>
      <c r="R41" s="6">
        <v>0.25</v>
      </c>
      <c r="S41" s="6">
        <v>0.28800000000000003</v>
      </c>
    </row>
    <row r="42" spans="5:19" x14ac:dyDescent="0.25">
      <c r="E42" s="8">
        <v>2025</v>
      </c>
      <c r="F42" s="9">
        <v>3.5000000000000003E-2</v>
      </c>
      <c r="G42" s="9">
        <v>-1E-3</v>
      </c>
      <c r="H42" s="9">
        <v>-1.8000000000000002E-2</v>
      </c>
      <c r="I42" s="9">
        <v>-1.3999999999999999E-2</v>
      </c>
      <c r="J42" s="9">
        <v>7.0000000000000007E-2</v>
      </c>
      <c r="K42" s="9">
        <v>1.8000000000000002E-2</v>
      </c>
      <c r="L42" s="9">
        <v>2.5000000000000001E-2</v>
      </c>
      <c r="M42" s="9">
        <v>-1.4999999999999999E-2</v>
      </c>
      <c r="N42" s="9">
        <v>-5.0000000000000001E-3</v>
      </c>
      <c r="O42" s="9">
        <v>-0.03</v>
      </c>
      <c r="P42" s="9">
        <v>-8.0000000000000002E-3</v>
      </c>
      <c r="Q42" s="9">
        <v>-1.3999999999999999E-2</v>
      </c>
      <c r="R42" s="6">
        <v>4.0999999999999995E-2</v>
      </c>
      <c r="S42" s="6">
        <v>0.01</v>
      </c>
    </row>
    <row r="43" spans="5:19" x14ac:dyDescent="0.25"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5">
        <v>0.17100000000000001</v>
      </c>
      <c r="S43" s="15">
        <v>7.5999999999999998E-2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310709CD82A6741BE5E8B9BFA41D3C0" ma:contentTypeVersion="13" ma:contentTypeDescription="Skapa ett nytt dokument." ma:contentTypeScope="" ma:versionID="ea70554b132df1325a42697029f21ce4">
  <xsd:schema xmlns:xsd="http://www.w3.org/2001/XMLSchema" xmlns:xs="http://www.w3.org/2001/XMLSchema" xmlns:p="http://schemas.microsoft.com/office/2006/metadata/properties" xmlns:ns2="5e27318a-0826-4810-8988-cc3e5c2e3a20" xmlns:ns3="4124b31e-6573-4802-b7ef-311f4d26277d" targetNamespace="http://schemas.microsoft.com/office/2006/metadata/properties" ma:root="true" ma:fieldsID="cc21193230fc81558174baefa7095284" ns2:_="" ns3:_="">
    <xsd:import namespace="5e27318a-0826-4810-8988-cc3e5c2e3a20"/>
    <xsd:import namespace="4124b31e-6573-4802-b7ef-311f4d2627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7318a-0826-4810-8988-cc3e5c2e3a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ildmarkeringar" ma:readOnly="false" ma:fieldId="{5cf76f15-5ced-4ddc-b409-7134ff3c332f}" ma:taxonomyMulti="true" ma:sspId="7f99c0e0-a277-4309-9e70-fff5b915cc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24b31e-6573-4802-b7ef-311f4d26277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270a8ef-2ce6-4f9b-a60c-abb7e201e7ac}" ma:internalName="TaxCatchAll" ma:showField="CatchAllData" ma:web="4124b31e-6573-4802-b7ef-311f4d2627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24b31e-6573-4802-b7ef-311f4d26277d" xsi:nil="true"/>
    <lcf76f155ced4ddcb4097134ff3c332f xmlns="5e27318a-0826-4810-8988-cc3e5c2e3a2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BD4735-C34D-416A-8708-978FE9B9B2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CF0F8E-7CE4-439E-8CEB-CF7B15812E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27318a-0826-4810-8988-cc3e5c2e3a20"/>
    <ds:schemaRef ds:uri="4124b31e-6573-4802-b7ef-311f4d2627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9CF7E7-9013-4E9B-8157-F50654B947EE}">
  <ds:schemaRefs>
    <ds:schemaRef ds:uri="http://schemas.microsoft.com/office/2006/metadata/properties"/>
    <ds:schemaRef ds:uri="http://schemas.microsoft.com/office/infopath/2007/PartnerControls"/>
    <ds:schemaRef ds:uri="4124b31e-6573-4802-b7ef-311f4d26277d"/>
    <ds:schemaRef ds:uri="5e27318a-0826-4810-8988-cc3e5c2e3a2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Monthly Returns</vt:lpstr>
      <vt:lpstr>Transactions</vt:lpstr>
      <vt:lpstr>Deal type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Charette</dc:creator>
  <cp:lastModifiedBy>Stefan Charette</cp:lastModifiedBy>
  <dcterms:created xsi:type="dcterms:W3CDTF">2026-01-14T20:31:18Z</dcterms:created>
  <dcterms:modified xsi:type="dcterms:W3CDTF">2026-05-26T16:15:54Z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0x0101006310709CD82A6741BE5E8B9BFA41D3C0</vt:lpwstr>
  </property>
  <property fmtid="{D5CDD505-2E9C-101B-9397-08002B2CF9AE}" pid="3" name="MediaServiceImageTags">
    <vt:lpwstr/>
  </property>
</Properties>
</file>