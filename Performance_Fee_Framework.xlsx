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" sheetId="1" state="visible" r:id="rId1"/>
    <sheet name="Take by AUM" sheetId="2" state="visible" r:id="rId2"/>
    <sheet name="Take per Person" sheetId="3" state="visible" r:id="rId3"/>
    <sheet name="Profit Simulation" sheetId="4" state="visible" r:id="rId4"/>
    <sheet name="Owner Total Co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#,##0.000"/>
    <numFmt numFmtId="167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1F3864"/>
      <sz val="12"/>
    </font>
    <font>
      <sz val="10"/>
    </font>
    <font>
      <b val="1"/>
      <color rgb="00C00000"/>
      <sz val="10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b val="1"/>
      <color rgb="00FFFFFF"/>
      <sz val="9"/>
    </font>
    <font>
      <b val="1"/>
      <color rgb="00FFFFFF"/>
      <sz val="14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EAF0FA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7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8" fillId="5" borderId="1" pivotButton="0" quotePrefix="0" xfId="0"/>
    <xf numFmtId="0" fontId="8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 wrapText="1"/>
    </xf>
    <xf numFmtId="0" fontId="8" fillId="8" borderId="1" pivotButton="0" quotePrefix="0" xfId="0"/>
    <xf numFmtId="0" fontId="8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7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0" fontId="4" fillId="7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166" fontId="8" fillId="9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4" fillId="5" borderId="1" pivotButton="0" quotePrefix="0" xfId="0"/>
    <xf numFmtId="166" fontId="4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166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Each role's share of the take as AUM grows $100m → $2bn</a:t>
            </a:r>
          </a:p>
        </rich>
      </tx>
    </title>
    <plotArea>
      <lineChart>
        <grouping val="standard"/>
        <ser>
          <idx val="0"/>
          <order val="0"/>
          <tx>
            <strRef>
              <f>'Take by AUM'!A5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AUM'!$B$5:$U$5</f>
            </numRef>
          </val>
        </ser>
        <ser>
          <idx val="1"/>
          <order val="1"/>
          <tx>
            <strRef>
              <f>'Take by AUM'!A6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AUM'!$B$6:$U$6</f>
            </numRef>
          </val>
        </ser>
        <ser>
          <idx val="2"/>
          <order val="2"/>
          <tx>
            <strRef>
              <f>'Take by AUM'!A7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AUM'!$B$7:$U$7</f>
            </numRef>
          </val>
        </ser>
        <ser>
          <idx val="3"/>
          <order val="3"/>
          <tx>
            <strRef>
              <f>'Take by AUM'!A8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AUM'!$B$8:$U$8</f>
            </numRef>
          </val>
        </ser>
        <ser>
          <idx val="4"/>
          <order val="4"/>
          <tx>
            <strRef>
              <f>'Take by AUM'!A9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AUM'!$B$9:$U$9</f>
            </numRef>
          </val>
        </ser>
        <ser>
          <idx val="5"/>
          <order val="5"/>
          <tx>
            <strRef>
              <f>'Take by AUM'!A10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AUM'!$B$10:$U$10</f>
            </numRef>
          </val>
        </ser>
        <ser>
          <idx val="6"/>
          <order val="6"/>
          <tx>
            <strRef>
              <f>'Take by AUM'!A11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AUM'!$B$11:$U$11</f>
            </numRef>
          </val>
        </ser>
        <ser>
          <idx val="7"/>
          <order val="7"/>
          <tx>
            <strRef>
              <f>'Take by AUM'!A12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AUM'!$B$12:$U$12</f>
            </numRef>
          </val>
        </ser>
        <ser>
          <idx val="8"/>
          <order val="8"/>
          <tx>
            <strRef>
              <f>'Take by AUM'!A13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AUM'!$B$13:$U$13</f>
            </numRef>
          </val>
        </ser>
        <ser>
          <idx val="9"/>
          <order val="9"/>
          <tx>
            <strRef>
              <f>'Take by AUM'!A14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AUM'!$B$14:$U$14</f>
            </numRef>
          </val>
        </ser>
        <ser>
          <idx val="10"/>
          <order val="10"/>
          <tx>
            <strRef>
              <f>'Take by AUM'!A15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AUM'!$B$15:$U$15</f>
            </numRef>
          </val>
        </ser>
        <ser>
          <idx val="11"/>
          <order val="11"/>
          <tx>
            <strRef>
              <f>'Take by AUM'!A16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AUM'!$B$16:$U$16</f>
            </numRef>
          </val>
        </ser>
        <ser>
          <idx val="12"/>
          <order val="12"/>
          <tx>
            <strRef>
              <f>'Take by AUM'!A17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by AUM'!$B$4:$U$4</f>
            </numRef>
          </cat>
          <val>
            <numRef>
              <f>'Take by AUM'!$B$17:$U$17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AUM (millions)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take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Per-person share of the take as AUM grows $100m → $2bn</a:t>
            </a:r>
          </a:p>
        </rich>
      </tx>
    </title>
    <plotArea>
      <lineChart>
        <grouping val="standard"/>
        <ser>
          <idx val="0"/>
          <order val="0"/>
          <tx>
            <strRef>
              <f>'Take per Person'!A5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Person'!$B$5:$U$5</f>
            </numRef>
          </val>
        </ser>
        <ser>
          <idx val="1"/>
          <order val="1"/>
          <tx>
            <strRef>
              <f>'Take per Person'!A6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Person'!$B$6:$U$6</f>
            </numRef>
          </val>
        </ser>
        <ser>
          <idx val="2"/>
          <order val="2"/>
          <tx>
            <strRef>
              <f>'Take per Person'!A7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Person'!$B$7:$U$7</f>
            </numRef>
          </val>
        </ser>
        <ser>
          <idx val="3"/>
          <order val="3"/>
          <tx>
            <strRef>
              <f>'Take per Person'!A8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Person'!$B$8:$U$8</f>
            </numRef>
          </val>
        </ser>
        <ser>
          <idx val="4"/>
          <order val="4"/>
          <tx>
            <strRef>
              <f>'Take per Person'!A9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Person'!$B$9:$U$9</f>
            </numRef>
          </val>
        </ser>
        <ser>
          <idx val="5"/>
          <order val="5"/>
          <tx>
            <strRef>
              <f>'Take per Person'!A10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Person'!$B$10:$U$10</f>
            </numRef>
          </val>
        </ser>
        <ser>
          <idx val="6"/>
          <order val="6"/>
          <tx>
            <strRef>
              <f>'Take per Person'!A11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Person'!$B$11:$U$11</f>
            </numRef>
          </val>
        </ser>
        <ser>
          <idx val="7"/>
          <order val="7"/>
          <tx>
            <strRef>
              <f>'Take per Person'!A12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Person'!$B$12:$U$12</f>
            </numRef>
          </val>
        </ser>
        <ser>
          <idx val="8"/>
          <order val="8"/>
          <tx>
            <strRef>
              <f>'Take per Person'!A13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Person'!$B$13:$U$13</f>
            </numRef>
          </val>
        </ser>
        <ser>
          <idx val="9"/>
          <order val="9"/>
          <tx>
            <strRef>
              <f>'Take per Person'!A14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Person'!$B$14:$U$14</f>
            </numRef>
          </val>
        </ser>
        <ser>
          <idx val="10"/>
          <order val="10"/>
          <tx>
            <strRef>
              <f>'Take per Person'!A15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Person'!$B$15:$U$15</f>
            </numRef>
          </val>
        </ser>
        <ser>
          <idx val="11"/>
          <order val="11"/>
          <tx>
            <strRef>
              <f>'Take per Person'!A16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Person'!$B$16:$U$16</f>
            </numRef>
          </val>
        </ser>
        <ser>
          <idx val="12"/>
          <order val="12"/>
          <tx>
            <strRef>
              <f>'Take per Person'!A17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'Take per Person'!$B$4:$U$4</f>
            </numRef>
          </cat>
          <val>
            <numRef>
              <f>'Take per Person'!$B$17:$U$17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AUM (millions)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take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Firm EBIT by AUM level (millions)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Simulation'!A14</f>
            </strRef>
          </tx>
          <spPr>
            <a:ln>
              <a:prstDash val="solid"/>
            </a:ln>
          </spPr>
          <cat>
            <numRef>
              <f>'Profit Simulation'!$H$4:$M$4</f>
            </numRef>
          </cat>
          <val>
            <numRef>
              <f>'Profit Simulation'!$B$14:$G$14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to each owner (millions)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'Profit Simulation'!A18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Simulation'!$H$4:$M$4</f>
            </numRef>
          </cat>
          <val>
            <numRef>
              <f>'Profit Simulation'!$B$18:$G$18</f>
            </numRef>
          </val>
        </ser>
        <ser>
          <idx val="1"/>
          <order val="1"/>
          <tx>
            <strRef>
              <f>'Profit Simulation'!A19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Simulation'!$H$4:$M$4</f>
            </numRef>
          </cat>
          <val>
            <numRef>
              <f>'Profit Simulation'!$B$19:$G$19</f>
            </numRef>
          </val>
        </ser>
        <ser>
          <idx val="2"/>
          <order val="2"/>
          <tx>
            <strRef>
              <f>'Profit Simulation'!A20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Simulation'!$H$4:$M$4</f>
            </numRef>
          </cat>
          <val>
            <numRef>
              <f>'Profit Simulation'!$B$20:$G$20</f>
            </numRef>
          </val>
        </ser>
        <ser>
          <idx val="3"/>
          <order val="3"/>
          <tx>
            <strRef>
              <f>'Profit Simulation'!A21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'Profit Simulation'!$H$4:$M$4</f>
            </numRef>
          </cat>
          <val>
            <numRef>
              <f>'Profit Simulation'!$B$21:$G$21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comp: CIO vs PM (each), by AUM (millions)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'Owner Total Comp'!A9</f>
            </strRef>
          </tx>
          <spPr>
            <a:ln>
              <a:prstDash val="solid"/>
            </a:ln>
          </spPr>
          <cat>
            <numRef>
              <f>'Owner Total Comp'!$H$4:$M$4</f>
            </numRef>
          </cat>
          <val>
            <numRef>
              <f>'Owner Total Comp'!$B$9:$G$9</f>
            </numRef>
          </val>
        </ser>
        <ser>
          <idx val="1"/>
          <order val="1"/>
          <tx>
            <strRef>
              <f>'Owner Total Comp'!A14</f>
            </strRef>
          </tx>
          <spPr>
            <a:ln>
              <a:prstDash val="solid"/>
            </a:ln>
          </spPr>
          <cat>
            <numRef>
              <f>'Owner Total Comp'!$H$4:$M$4</f>
            </numRef>
          </cat>
          <val>
            <numRef>
              <f>'Owner Total Comp'!$B$14:$G$14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0"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3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Performance Fee Distribution Framework</t>
        </is>
      </c>
    </row>
    <row r="2" ht="16" customHeight="1">
      <c r="A2" s="2" t="inlineStr">
        <is>
          <t>Athanase Industrial Partner — real roles, salaries &amp; performance weights (source: Compensation.xlsx › Static). Amounts in millions.</t>
        </is>
      </c>
    </row>
    <row r="4">
      <c r="A4" s="3" t="inlineStr">
        <is>
          <t>1.  Global assumptions  (edit the gold cells)</t>
        </is>
      </c>
    </row>
    <row r="5">
      <c r="A5" s="4" t="inlineStr">
        <is>
          <t>Performance-fee rate (of profits)</t>
        </is>
      </c>
      <c r="B5" s="45" t="n"/>
      <c r="C5" s="45" t="n"/>
      <c r="D5" s="45" t="n"/>
      <c r="E5" s="46" t="n"/>
      <c r="F5" s="5" t="n">
        <v>0.2</v>
      </c>
    </row>
    <row r="6">
      <c r="A6" s="4" t="inlineStr">
        <is>
          <t>Firm take rate — share of perf-fee to the comp pool</t>
        </is>
      </c>
      <c r="B6" s="45" t="n"/>
      <c r="C6" s="45" t="n"/>
      <c r="D6" s="45" t="n"/>
      <c r="E6" s="46" t="n"/>
      <c r="F6" s="5" t="n">
        <v>0.6</v>
      </c>
    </row>
    <row r="7">
      <c r="A7" s="4" t="inlineStr">
        <is>
          <t>Assumed gross return on AUM</t>
        </is>
      </c>
      <c r="B7" s="45" t="n"/>
      <c r="C7" s="45" t="n"/>
      <c r="D7" s="45" t="n"/>
      <c r="E7" s="46" t="n"/>
      <c r="F7" s="5" t="n">
        <v>0.12</v>
      </c>
    </row>
    <row r="8">
      <c r="A8" s="4" t="inlineStr">
        <is>
          <t>Management fee (of AUM)</t>
        </is>
      </c>
      <c r="B8" s="45" t="n"/>
      <c r="C8" s="45" t="n"/>
      <c r="D8" s="45" t="n"/>
      <c r="E8" s="46" t="n"/>
      <c r="F8" s="5" t="n">
        <v>0.015</v>
      </c>
    </row>
    <row r="9">
      <c r="A9" s="4" t="inlineStr">
        <is>
          <t>AUM tier threshold (millions)</t>
        </is>
      </c>
      <c r="B9" s="45" t="n"/>
      <c r="C9" s="45" t="n"/>
      <c r="D9" s="45" t="n"/>
      <c r="E9" s="46" t="n"/>
      <c r="F9" s="6" t="n">
        <v>300</v>
      </c>
    </row>
    <row r="10">
      <c r="A10" s="4" t="inlineStr">
        <is>
          <t>Employer cost loading on salary</t>
        </is>
      </c>
      <c r="B10" s="45" t="n"/>
      <c r="C10" s="45" t="n"/>
      <c r="D10" s="45" t="n"/>
      <c r="E10" s="46" t="n"/>
      <c r="F10" s="7" t="n">
        <v>1.62</v>
      </c>
    </row>
    <row r="11">
      <c r="A11" s="8" t="inlineStr">
        <is>
          <t>Comp pool = AUM × return × fee rate × take rate.  (The firm retains the other 40% of the performance fee.)</t>
        </is>
      </c>
    </row>
    <row r="13">
      <c r="A13" s="3" t="inlineStr">
        <is>
          <t>2.  AUM scenarios &amp; performance-fee economics  (millions)</t>
        </is>
      </c>
    </row>
    <row r="14">
      <c r="A14" s="9" t="inlineStr">
        <is>
          <t>Metric</t>
        </is>
      </c>
      <c r="H14" s="10" t="inlineStr">
        <is>
          <t>Scenario 1</t>
        </is>
      </c>
      <c r="I14" s="10" t="inlineStr">
        <is>
          <t>Scenario 2</t>
        </is>
      </c>
      <c r="J14" s="10" t="inlineStr">
        <is>
          <t>Scenario 3</t>
        </is>
      </c>
      <c r="K14" s="10" t="inlineStr">
        <is>
          <t>Scenario 4</t>
        </is>
      </c>
      <c r="L14" s="10" t="inlineStr">
        <is>
          <t>Scenario 5</t>
        </is>
      </c>
      <c r="M14" s="10" t="inlineStr">
        <is>
          <t>Scenario 6</t>
        </is>
      </c>
    </row>
    <row r="15">
      <c r="A15" s="11" t="inlineStr">
        <is>
          <t>AUM (millions)</t>
        </is>
      </c>
      <c r="H15" s="6" t="n">
        <v>20</v>
      </c>
      <c r="I15" s="6" t="n">
        <v>300</v>
      </c>
      <c r="J15" s="6" t="n">
        <v>500</v>
      </c>
      <c r="K15" s="6" t="n">
        <v>1000</v>
      </c>
      <c r="L15" s="6" t="n">
        <v>2000</v>
      </c>
      <c r="M15" s="6" t="n">
        <v>5000</v>
      </c>
    </row>
    <row r="16">
      <c r="A16" s="12" t="inlineStr">
        <is>
          <t>Gross profit  (= AUM × return)</t>
        </is>
      </c>
      <c r="H16" s="13">
        <f>H15*$F$7</f>
        <v/>
      </c>
      <c r="I16" s="13">
        <f>I15*$F$7</f>
        <v/>
      </c>
      <c r="J16" s="13">
        <f>J15*$F$7</f>
        <v/>
      </c>
      <c r="K16" s="13">
        <f>K15*$F$7</f>
        <v/>
      </c>
      <c r="L16" s="13">
        <f>L15*$F$7</f>
        <v/>
      </c>
      <c r="M16" s="13">
        <f>M15*$F$7</f>
        <v/>
      </c>
    </row>
    <row r="17">
      <c r="A17" s="12" t="inlineStr">
        <is>
          <t>Performance fee  (= profit × fee rate)</t>
        </is>
      </c>
      <c r="H17" s="13">
        <f>H16*$F$5</f>
        <v/>
      </c>
      <c r="I17" s="13">
        <f>I16*$F$5</f>
        <v/>
      </c>
      <c r="J17" s="13">
        <f>J16*$F$5</f>
        <v/>
      </c>
      <c r="K17" s="13">
        <f>K16*$F$5</f>
        <v/>
      </c>
      <c r="L17" s="13">
        <f>L16*$F$5</f>
        <v/>
      </c>
      <c r="M17" s="13">
        <f>M16*$F$5</f>
        <v/>
      </c>
    </row>
    <row r="18">
      <c r="A18" s="14" t="inlineStr">
        <is>
          <t>Comp pool  (= perf fee × take rate)</t>
        </is>
      </c>
      <c r="H18" s="15">
        <f>H17*$F$6</f>
        <v/>
      </c>
      <c r="I18" s="15">
        <f>I17*$F$6</f>
        <v/>
      </c>
      <c r="J18" s="15">
        <f>J17*$F$6</f>
        <v/>
      </c>
      <c r="K18" s="15">
        <f>K17*$F$6</f>
        <v/>
      </c>
      <c r="L18" s="15">
        <f>L17*$F$6</f>
        <v/>
      </c>
      <c r="M18" s="15">
        <f>M17*$F$6</f>
        <v/>
      </c>
    </row>
    <row r="20" ht="30" customHeight="1">
      <c r="A20" s="3" t="inlineStr">
        <is>
          <t>3.  Organisation, weights &amp; headcount</t>
        </is>
      </c>
      <c r="B20" s="16" t="inlineStr">
        <is>
          <t>Salary
&lt; $300m</t>
        </is>
      </c>
      <c r="C20" s="16" t="inlineStr">
        <is>
          <t>Salary
≥ $300m</t>
        </is>
      </c>
      <c r="D20" s="16" t="inlineStr">
        <is>
          <t>Performance
weight</t>
        </is>
      </c>
      <c r="E20" s="16" t="inlineStr"/>
      <c r="F20" s="16" t="inlineStr"/>
      <c r="G20" s="16" t="inlineStr">
        <is>
          <t>Headcount →</t>
        </is>
      </c>
      <c r="H20" s="16" t="inlineStr">
        <is>
          <t>@ $20m</t>
        </is>
      </c>
      <c r="I20" s="16" t="inlineStr">
        <is>
          <t>@ $300m</t>
        </is>
      </c>
      <c r="J20" s="16" t="inlineStr">
        <is>
          <t>@ $500m</t>
        </is>
      </c>
      <c r="K20" s="16" t="inlineStr">
        <is>
          <t>@ $1,000m</t>
        </is>
      </c>
      <c r="L20" s="16" t="inlineStr">
        <is>
          <t>@ $2,000m</t>
        </is>
      </c>
      <c r="M20" s="16" t="inlineStr">
        <is>
          <t>@ $5,000m</t>
        </is>
      </c>
    </row>
    <row r="21">
      <c r="A21" s="17" t="inlineStr">
        <is>
          <t>CIO</t>
        </is>
      </c>
      <c r="B21" s="18" t="n">
        <v>0.2</v>
      </c>
      <c r="C21" s="18" t="n">
        <v>0.3</v>
      </c>
      <c r="D21" s="19" t="n">
        <v>16</v>
      </c>
      <c r="E21" s="20" t="inlineStr"/>
      <c r="F21" s="20" t="inlineStr"/>
      <c r="G21" s="20" t="inlineStr"/>
      <c r="H21" s="19" t="n">
        <v>1</v>
      </c>
      <c r="I21" s="19" t="n">
        <v>1</v>
      </c>
      <c r="J21" s="19" t="n">
        <v>1</v>
      </c>
      <c r="K21" s="19" t="n">
        <v>1</v>
      </c>
      <c r="L21" s="19" t="n">
        <v>1</v>
      </c>
      <c r="M21" s="19" t="n">
        <v>1</v>
      </c>
    </row>
    <row r="22">
      <c r="A22" s="12" t="inlineStr">
        <is>
          <t>PM</t>
        </is>
      </c>
      <c r="B22" s="18" t="n">
        <v>0.13</v>
      </c>
      <c r="C22" s="18" t="n">
        <v>0.2</v>
      </c>
      <c r="D22" s="19" t="n">
        <v>8</v>
      </c>
      <c r="E22" s="21" t="inlineStr"/>
      <c r="F22" s="21" t="inlineStr"/>
      <c r="G22" s="21" t="inlineStr"/>
      <c r="H22" s="19" t="n">
        <v>2</v>
      </c>
      <c r="I22" s="19" t="n">
        <v>2</v>
      </c>
      <c r="J22" s="19" t="n">
        <v>3</v>
      </c>
      <c r="K22" s="19" t="n">
        <v>3</v>
      </c>
      <c r="L22" s="19" t="n">
        <v>4</v>
      </c>
      <c r="M22" s="19" t="n">
        <v>4</v>
      </c>
    </row>
    <row r="23">
      <c r="A23" s="17" t="inlineStr">
        <is>
          <t>Junior PM</t>
        </is>
      </c>
      <c r="B23" s="18" t="n">
        <v>0.1</v>
      </c>
      <c r="C23" s="18" t="n">
        <v>0.2</v>
      </c>
      <c r="D23" s="19" t="n">
        <v>6</v>
      </c>
      <c r="E23" s="20" t="inlineStr"/>
      <c r="F23" s="20" t="inlineStr"/>
      <c r="G23" s="20" t="inlineStr"/>
      <c r="H23" s="19" t="n">
        <v>0</v>
      </c>
      <c r="I23" s="19" t="n">
        <v>0</v>
      </c>
      <c r="J23" s="19" t="n">
        <v>1</v>
      </c>
      <c r="K23" s="19" t="n">
        <v>1</v>
      </c>
      <c r="L23" s="19" t="n">
        <v>2</v>
      </c>
      <c r="M23" s="19" t="n">
        <v>2</v>
      </c>
    </row>
    <row r="24">
      <c r="A24" s="12" t="inlineStr">
        <is>
          <t>Senior Analyst</t>
        </is>
      </c>
      <c r="B24" s="18" t="n">
        <v>0.05</v>
      </c>
      <c r="C24" s="18" t="n">
        <v>0.2</v>
      </c>
      <c r="D24" s="19" t="n">
        <v>4</v>
      </c>
      <c r="E24" s="21" t="inlineStr"/>
      <c r="F24" s="21" t="inlineStr"/>
      <c r="G24" s="21" t="inlineStr"/>
      <c r="H24" s="19" t="n">
        <v>0</v>
      </c>
      <c r="I24" s="19" t="n">
        <v>1</v>
      </c>
      <c r="J24" s="19" t="n">
        <v>1</v>
      </c>
      <c r="K24" s="19" t="n">
        <v>2</v>
      </c>
      <c r="L24" s="19" t="n">
        <v>3</v>
      </c>
      <c r="M24" s="19" t="n">
        <v>3</v>
      </c>
    </row>
    <row r="25">
      <c r="A25" s="17" t="inlineStr">
        <is>
          <t>Analyst</t>
        </is>
      </c>
      <c r="B25" s="18" t="n">
        <v>0</v>
      </c>
      <c r="C25" s="18" t="n">
        <v>0.2</v>
      </c>
      <c r="D25" s="19" t="n">
        <v>2.5</v>
      </c>
      <c r="E25" s="20" t="inlineStr"/>
      <c r="F25" s="20" t="inlineStr"/>
      <c r="G25" s="20" t="inlineStr"/>
      <c r="H25" s="19" t="n">
        <v>0</v>
      </c>
      <c r="I25" s="19" t="n">
        <v>2</v>
      </c>
      <c r="J25" s="19" t="n">
        <v>3</v>
      </c>
      <c r="K25" s="19" t="n">
        <v>4</v>
      </c>
      <c r="L25" s="19" t="n">
        <v>8</v>
      </c>
      <c r="M25" s="19" t="n">
        <v>8</v>
      </c>
    </row>
    <row r="26">
      <c r="A26" s="12" t="inlineStr">
        <is>
          <t>CEO</t>
        </is>
      </c>
      <c r="B26" s="18" t="n">
        <v>0.15</v>
      </c>
      <c r="C26" s="18" t="n">
        <v>0.3</v>
      </c>
      <c r="D26" s="19" t="n">
        <v>8</v>
      </c>
      <c r="E26" s="21" t="inlineStr"/>
      <c r="F26" s="21" t="inlineStr"/>
      <c r="G26" s="21" t="inlineStr"/>
      <c r="H26" s="19" t="n">
        <v>1</v>
      </c>
      <c r="I26" s="19" t="n">
        <v>1</v>
      </c>
      <c r="J26" s="19" t="n">
        <v>1</v>
      </c>
      <c r="K26" s="19" t="n">
        <v>1</v>
      </c>
      <c r="L26" s="19" t="n">
        <v>1</v>
      </c>
      <c r="M26" s="19" t="n">
        <v>1</v>
      </c>
    </row>
    <row r="27">
      <c r="A27" s="17" t="inlineStr">
        <is>
          <t>CFO</t>
        </is>
      </c>
      <c r="B27" s="18" t="n">
        <v>0.1</v>
      </c>
      <c r="C27" s="18" t="n">
        <v>0.15</v>
      </c>
      <c r="D27" s="19" t="n">
        <v>3</v>
      </c>
      <c r="E27" s="20" t="inlineStr"/>
      <c r="F27" s="20" t="inlineStr"/>
      <c r="G27" s="20" t="inlineStr"/>
      <c r="H27" s="19" t="n">
        <v>0.2</v>
      </c>
      <c r="I27" s="19" t="n">
        <v>0.2</v>
      </c>
      <c r="J27" s="19" t="n">
        <v>0.2</v>
      </c>
      <c r="K27" s="19" t="n">
        <v>1</v>
      </c>
      <c r="L27" s="19" t="n">
        <v>1</v>
      </c>
      <c r="M27" s="19" t="n">
        <v>1</v>
      </c>
    </row>
    <row r="28">
      <c r="A28" s="12" t="inlineStr">
        <is>
          <t>COO</t>
        </is>
      </c>
      <c r="B28" s="18" t="n">
        <v>0.12</v>
      </c>
      <c r="C28" s="18" t="n">
        <v>0.2</v>
      </c>
      <c r="D28" s="19" t="n">
        <v>3</v>
      </c>
      <c r="E28" s="21" t="inlineStr"/>
      <c r="F28" s="21" t="inlineStr"/>
      <c r="G28" s="21" t="inlineStr"/>
      <c r="H28" s="19" t="n">
        <v>0.5</v>
      </c>
      <c r="I28" s="19" t="n">
        <v>0.5</v>
      </c>
      <c r="J28" s="19" t="n">
        <v>0.5</v>
      </c>
      <c r="K28" s="19" t="n">
        <v>1</v>
      </c>
      <c r="L28" s="19" t="n">
        <v>1</v>
      </c>
      <c r="M28" s="19" t="n">
        <v>1</v>
      </c>
    </row>
    <row r="29">
      <c r="A29" s="17" t="inlineStr">
        <is>
          <t>IR</t>
        </is>
      </c>
      <c r="B29" s="18" t="n">
        <v>0.12</v>
      </c>
      <c r="C29" s="18" t="n">
        <v>0.12</v>
      </c>
      <c r="D29" s="19" t="n">
        <v>1</v>
      </c>
      <c r="E29" s="20" t="inlineStr"/>
      <c r="F29" s="20" t="inlineStr"/>
      <c r="G29" s="20" t="inlineStr"/>
      <c r="H29" s="19" t="n">
        <v>1</v>
      </c>
      <c r="I29" s="19" t="n">
        <v>2</v>
      </c>
      <c r="J29" s="19" t="n">
        <v>2</v>
      </c>
      <c r="K29" s="19" t="n">
        <v>2</v>
      </c>
      <c r="L29" s="19" t="n">
        <v>2</v>
      </c>
      <c r="M29" s="19" t="n">
        <v>2</v>
      </c>
    </row>
    <row r="30">
      <c r="A30" s="12" t="inlineStr">
        <is>
          <t>Support</t>
        </is>
      </c>
      <c r="B30" s="18" t="n">
        <v>0.12</v>
      </c>
      <c r="C30" s="18" t="n">
        <v>0.12</v>
      </c>
      <c r="D30" s="19" t="n">
        <v>1</v>
      </c>
      <c r="E30" s="21" t="inlineStr"/>
      <c r="F30" s="21" t="inlineStr"/>
      <c r="G30" s="21" t="inlineStr"/>
      <c r="H30" s="19" t="n">
        <v>0.5</v>
      </c>
      <c r="I30" s="19" t="n">
        <v>0.5</v>
      </c>
      <c r="J30" s="19" t="n">
        <v>0.5</v>
      </c>
      <c r="K30" s="19" t="n">
        <v>1</v>
      </c>
      <c r="L30" s="19" t="n">
        <v>1</v>
      </c>
      <c r="M30" s="19" t="n">
        <v>1</v>
      </c>
    </row>
    <row r="31">
      <c r="A31" s="17" t="inlineStr">
        <is>
          <t>Execution</t>
        </is>
      </c>
      <c r="B31" s="18" t="n">
        <v>0</v>
      </c>
      <c r="C31" s="18" t="n">
        <v>0.2</v>
      </c>
      <c r="D31" s="19" t="n">
        <v>2</v>
      </c>
      <c r="E31" s="20" t="inlineStr"/>
      <c r="F31" s="20" t="inlineStr"/>
      <c r="G31" s="20" t="inlineStr"/>
      <c r="H31" s="19" t="n">
        <v>0</v>
      </c>
      <c r="I31" s="19" t="n">
        <v>0</v>
      </c>
      <c r="J31" s="19" t="n">
        <v>0</v>
      </c>
      <c r="K31" s="19" t="n">
        <v>1</v>
      </c>
      <c r="L31" s="19" t="n">
        <v>1</v>
      </c>
      <c r="M31" s="19" t="n">
        <v>1</v>
      </c>
    </row>
    <row r="32">
      <c r="A32" s="12" t="inlineStr">
        <is>
          <t>Risk</t>
        </is>
      </c>
      <c r="B32" s="18" t="n">
        <v>0</v>
      </c>
      <c r="C32" s="18" t="n">
        <v>0.2</v>
      </c>
      <c r="D32" s="19" t="n">
        <v>2</v>
      </c>
      <c r="E32" s="21" t="inlineStr"/>
      <c r="F32" s="21" t="inlineStr"/>
      <c r="G32" s="21" t="inlineStr"/>
      <c r="H32" s="19" t="n">
        <v>0</v>
      </c>
      <c r="I32" s="19" t="n">
        <v>0</v>
      </c>
      <c r="J32" s="19" t="n">
        <v>0</v>
      </c>
      <c r="K32" s="19" t="n">
        <v>1</v>
      </c>
      <c r="L32" s="19" t="n">
        <v>1</v>
      </c>
      <c r="M32" s="19" t="n">
        <v>1</v>
      </c>
    </row>
    <row r="33">
      <c r="A33" s="17" t="inlineStr">
        <is>
          <t>Compliance</t>
        </is>
      </c>
      <c r="B33" s="18" t="n">
        <v>0</v>
      </c>
      <c r="C33" s="18" t="n">
        <v>0.2</v>
      </c>
      <c r="D33" s="19" t="n">
        <v>1</v>
      </c>
      <c r="E33" s="20" t="inlineStr"/>
      <c r="F33" s="20" t="inlineStr"/>
      <c r="G33" s="20" t="inlineStr"/>
      <c r="H33" s="19" t="n">
        <v>0</v>
      </c>
      <c r="I33" s="19" t="n">
        <v>0</v>
      </c>
      <c r="J33" s="19" t="n">
        <v>0</v>
      </c>
      <c r="K33" s="19" t="n">
        <v>1</v>
      </c>
      <c r="L33" s="19" t="n">
        <v>1</v>
      </c>
      <c r="M33" s="19" t="n">
        <v>1</v>
      </c>
    </row>
    <row r="34">
      <c r="A34" s="22" t="inlineStr">
        <is>
          <t>Total performance units</t>
        </is>
      </c>
      <c r="B34" s="23" t="inlineStr"/>
      <c r="C34" s="23" t="inlineStr"/>
      <c r="D34" s="23" t="inlineStr"/>
      <c r="E34" s="23" t="inlineStr"/>
      <c r="F34" s="23" t="inlineStr"/>
      <c r="G34" s="24" t="inlineStr">
        <is>
          <t>Σ weight×HC →</t>
        </is>
      </c>
      <c r="H34" s="25">
        <f>SUMPRODUCT($D$21:$D$33,H21:H33)</f>
        <v/>
      </c>
      <c r="I34" s="25">
        <f>SUMPRODUCT($D$21:$D$33,I21:I33)</f>
        <v/>
      </c>
      <c r="J34" s="25">
        <f>SUMPRODUCT($D$21:$D$33,J21:J33)</f>
        <v/>
      </c>
      <c r="K34" s="25">
        <f>SUMPRODUCT($D$21:$D$33,K21:K33)</f>
        <v/>
      </c>
      <c r="L34" s="25">
        <f>SUMPRODUCT($D$21:$D$33,L21:L33)</f>
        <v/>
      </c>
      <c r="M34" s="25">
        <f>SUMPRODUCT($D$21:$D$33,M21:M33)</f>
        <v/>
      </c>
    </row>
    <row r="35">
      <c r="A35" s="14" t="inlineStr">
        <is>
          <t>Value per performance unit (millions)</t>
        </is>
      </c>
      <c r="B35" s="26" t="inlineStr"/>
      <c r="C35" s="26" t="inlineStr"/>
      <c r="D35" s="26" t="inlineStr"/>
      <c r="E35" s="26" t="inlineStr"/>
      <c r="F35" s="26" t="inlineStr"/>
      <c r="G35" s="27" t="inlineStr">
        <is>
          <t>pool ÷ units →</t>
        </is>
      </c>
      <c r="H35" s="28">
        <f>IF(H34=0,0,H18/H34)</f>
        <v/>
      </c>
      <c r="I35" s="28">
        <f>IF(I34=0,0,I18/I34)</f>
        <v/>
      </c>
      <c r="J35" s="28">
        <f>IF(J34=0,0,J18/J34)</f>
        <v/>
      </c>
      <c r="K35" s="28">
        <f>IF(K34=0,0,K18/K34)</f>
        <v/>
      </c>
      <c r="L35" s="28">
        <f>IF(L34=0,0,L18/L34)</f>
        <v/>
      </c>
      <c r="M35" s="28">
        <f>IF(M34=0,0,M18/M34)</f>
        <v/>
      </c>
    </row>
    <row r="36">
      <c r="A36" s="4" t="inlineStr">
        <is>
          <t>Total fixed payroll, loaded (millions)</t>
        </is>
      </c>
      <c r="B36" s="29" t="inlineStr"/>
      <c r="C36" s="29" t="inlineStr"/>
      <c r="D36" s="29" t="inlineStr"/>
      <c r="E36" s="29" t="inlineStr"/>
      <c r="F36" s="29" t="inlineStr"/>
      <c r="G36" s="29" t="inlineStr"/>
      <c r="H36" s="30">
        <f>IF(H15&lt;$F$9,SUMPRODUCT($B$21:$B$33,H21:H33),SUMPRODUCT($C$21:$C$33,H21:H33))*$F$10</f>
        <v/>
      </c>
      <c r="I36" s="30">
        <f>IF(I15&lt;$F$9,SUMPRODUCT($B$21:$B$33,I21:I33),SUMPRODUCT($C$21:$C$33,I21:I33))*$F$10</f>
        <v/>
      </c>
      <c r="J36" s="30">
        <f>IF(J15&lt;$F$9,SUMPRODUCT($B$21:$B$33,J21:J33),SUMPRODUCT($C$21:$C$33,J21:J33))*$F$10</f>
        <v/>
      </c>
      <c r="K36" s="30">
        <f>IF(K15&lt;$F$9,SUMPRODUCT($B$21:$B$33,K21:K33),SUMPRODUCT($C$21:$C$33,K21:K33))*$F$10</f>
        <v/>
      </c>
      <c r="L36" s="30">
        <f>IF(L15&lt;$F$9,SUMPRODUCT($B$21:$B$33,L21:L33),SUMPRODUCT($C$21:$C$33,L21:L33))*$F$10</f>
        <v/>
      </c>
      <c r="M36" s="30">
        <f>IF(M15&lt;$F$9,SUMPRODUCT($B$21:$B$33,M21:M33),SUMPRODUCT($C$21:$C$33,M21:M33))*$F$10</f>
        <v/>
      </c>
    </row>
    <row r="37">
      <c r="A37" s="4" t="inlineStr">
        <is>
          <t>Total headcount</t>
        </is>
      </c>
      <c r="B37" s="29" t="inlineStr"/>
      <c r="C37" s="29" t="inlineStr"/>
      <c r="D37" s="29" t="inlineStr"/>
      <c r="E37" s="29" t="inlineStr"/>
      <c r="F37" s="29" t="inlineStr"/>
      <c r="G37" s="29" t="inlineStr"/>
      <c r="H37" s="31">
        <f>SUM(H21:H33)</f>
        <v/>
      </c>
      <c r="I37" s="31">
        <f>SUM(I21:I33)</f>
        <v/>
      </c>
      <c r="J37" s="31">
        <f>SUM(J21:J33)</f>
        <v/>
      </c>
      <c r="K37" s="31">
        <f>SUM(K21:K33)</f>
        <v/>
      </c>
      <c r="L37" s="31">
        <f>SUM(L21:L33)</f>
        <v/>
      </c>
      <c r="M37" s="31">
        <f>SUM(M21:M33)</f>
        <v/>
      </c>
    </row>
    <row r="39">
      <c r="A39" s="3" t="inlineStr">
        <is>
          <t>4.  Performance payout PER PERSON, by scenario  (millions — absolute, grows with AUM)</t>
        </is>
      </c>
    </row>
    <row r="40">
      <c r="A40" s="32" t="inlineStr">
        <is>
          <t>Role</t>
        </is>
      </c>
      <c r="D40" s="16" t="inlineStr">
        <is>
          <t>Weight</t>
        </is>
      </c>
      <c r="H40" s="16" t="inlineStr">
        <is>
          <t>@ $20m</t>
        </is>
      </c>
      <c r="I40" s="16" t="inlineStr">
        <is>
          <t>@ $300m</t>
        </is>
      </c>
      <c r="J40" s="16" t="inlineStr">
        <is>
          <t>@ $500m</t>
        </is>
      </c>
      <c r="K40" s="16" t="inlineStr">
        <is>
          <t>@ $1,000m</t>
        </is>
      </c>
      <c r="L40" s="16" t="inlineStr">
        <is>
          <t>@ $2,000m</t>
        </is>
      </c>
      <c r="M40" s="16" t="inlineStr">
        <is>
          <t>@ $5,000m</t>
        </is>
      </c>
    </row>
    <row r="41">
      <c r="A41" s="17">
        <f>A21</f>
        <v/>
      </c>
      <c r="D41" s="33">
        <f>D21</f>
        <v/>
      </c>
      <c r="H41" s="34">
        <f>$D21*H$35</f>
        <v/>
      </c>
      <c r="I41" s="34">
        <f>$D21*I$35</f>
        <v/>
      </c>
      <c r="J41" s="34">
        <f>$D21*J$35</f>
        <v/>
      </c>
      <c r="K41" s="34">
        <f>$D21*K$35</f>
        <v/>
      </c>
      <c r="L41" s="34">
        <f>$D21*L$35</f>
        <v/>
      </c>
      <c r="M41" s="34">
        <f>$D21*M$35</f>
        <v/>
      </c>
    </row>
    <row r="42">
      <c r="A42" s="12">
        <f>A22</f>
        <v/>
      </c>
      <c r="D42" s="35">
        <f>D22</f>
        <v/>
      </c>
      <c r="H42" s="36">
        <f>$D22*H$35</f>
        <v/>
      </c>
      <c r="I42" s="36">
        <f>$D22*I$35</f>
        <v/>
      </c>
      <c r="J42" s="36">
        <f>$D22*J$35</f>
        <v/>
      </c>
      <c r="K42" s="36">
        <f>$D22*K$35</f>
        <v/>
      </c>
      <c r="L42" s="36">
        <f>$D22*L$35</f>
        <v/>
      </c>
      <c r="M42" s="36">
        <f>$D22*M$35</f>
        <v/>
      </c>
    </row>
    <row r="43">
      <c r="A43" s="17">
        <f>A23</f>
        <v/>
      </c>
      <c r="D43" s="33">
        <f>D23</f>
        <v/>
      </c>
      <c r="H43" s="34">
        <f>$D23*H$35</f>
        <v/>
      </c>
      <c r="I43" s="34">
        <f>$D23*I$35</f>
        <v/>
      </c>
      <c r="J43" s="34">
        <f>$D23*J$35</f>
        <v/>
      </c>
      <c r="K43" s="34">
        <f>$D23*K$35</f>
        <v/>
      </c>
      <c r="L43" s="34">
        <f>$D23*L$35</f>
        <v/>
      </c>
      <c r="M43" s="34">
        <f>$D23*M$35</f>
        <v/>
      </c>
    </row>
    <row r="44">
      <c r="A44" s="12">
        <f>A24</f>
        <v/>
      </c>
      <c r="D44" s="35">
        <f>D24</f>
        <v/>
      </c>
      <c r="H44" s="36">
        <f>$D24*H$35</f>
        <v/>
      </c>
      <c r="I44" s="36">
        <f>$D24*I$35</f>
        <v/>
      </c>
      <c r="J44" s="36">
        <f>$D24*J$35</f>
        <v/>
      </c>
      <c r="K44" s="36">
        <f>$D24*K$35</f>
        <v/>
      </c>
      <c r="L44" s="36">
        <f>$D24*L$35</f>
        <v/>
      </c>
      <c r="M44" s="36">
        <f>$D24*M$35</f>
        <v/>
      </c>
    </row>
    <row r="45">
      <c r="A45" s="17">
        <f>A25</f>
        <v/>
      </c>
      <c r="D45" s="33">
        <f>D25</f>
        <v/>
      </c>
      <c r="H45" s="34">
        <f>$D25*H$35</f>
        <v/>
      </c>
      <c r="I45" s="34">
        <f>$D25*I$35</f>
        <v/>
      </c>
      <c r="J45" s="34">
        <f>$D25*J$35</f>
        <v/>
      </c>
      <c r="K45" s="34">
        <f>$D25*K$35</f>
        <v/>
      </c>
      <c r="L45" s="34">
        <f>$D25*L$35</f>
        <v/>
      </c>
      <c r="M45" s="34">
        <f>$D25*M$35</f>
        <v/>
      </c>
    </row>
    <row r="46">
      <c r="A46" s="12">
        <f>A26</f>
        <v/>
      </c>
      <c r="D46" s="35">
        <f>D26</f>
        <v/>
      </c>
      <c r="H46" s="36">
        <f>$D26*H$35</f>
        <v/>
      </c>
      <c r="I46" s="36">
        <f>$D26*I$35</f>
        <v/>
      </c>
      <c r="J46" s="36">
        <f>$D26*J$35</f>
        <v/>
      </c>
      <c r="K46" s="36">
        <f>$D26*K$35</f>
        <v/>
      </c>
      <c r="L46" s="36">
        <f>$D26*L$35</f>
        <v/>
      </c>
      <c r="M46" s="36">
        <f>$D26*M$35</f>
        <v/>
      </c>
    </row>
    <row r="47">
      <c r="A47" s="17">
        <f>A27</f>
        <v/>
      </c>
      <c r="D47" s="33">
        <f>D27</f>
        <v/>
      </c>
      <c r="H47" s="34">
        <f>$D27*H$35</f>
        <v/>
      </c>
      <c r="I47" s="34">
        <f>$D27*I$35</f>
        <v/>
      </c>
      <c r="J47" s="34">
        <f>$D27*J$35</f>
        <v/>
      </c>
      <c r="K47" s="34">
        <f>$D27*K$35</f>
        <v/>
      </c>
      <c r="L47" s="34">
        <f>$D27*L$35</f>
        <v/>
      </c>
      <c r="M47" s="34">
        <f>$D27*M$35</f>
        <v/>
      </c>
    </row>
    <row r="48">
      <c r="A48" s="12">
        <f>A28</f>
        <v/>
      </c>
      <c r="D48" s="35">
        <f>D28</f>
        <v/>
      </c>
      <c r="H48" s="36">
        <f>$D28*H$35</f>
        <v/>
      </c>
      <c r="I48" s="36">
        <f>$D28*I$35</f>
        <v/>
      </c>
      <c r="J48" s="36">
        <f>$D28*J$35</f>
        <v/>
      </c>
      <c r="K48" s="36">
        <f>$D28*K$35</f>
        <v/>
      </c>
      <c r="L48" s="36">
        <f>$D28*L$35</f>
        <v/>
      </c>
      <c r="M48" s="36">
        <f>$D28*M$35</f>
        <v/>
      </c>
    </row>
    <row r="49">
      <c r="A49" s="17">
        <f>A29</f>
        <v/>
      </c>
      <c r="D49" s="33">
        <f>D29</f>
        <v/>
      </c>
      <c r="H49" s="34">
        <f>$D29*H$35</f>
        <v/>
      </c>
      <c r="I49" s="34">
        <f>$D29*I$35</f>
        <v/>
      </c>
      <c r="J49" s="34">
        <f>$D29*J$35</f>
        <v/>
      </c>
      <c r="K49" s="34">
        <f>$D29*K$35</f>
        <v/>
      </c>
      <c r="L49" s="34">
        <f>$D29*L$35</f>
        <v/>
      </c>
      <c r="M49" s="34">
        <f>$D29*M$35</f>
        <v/>
      </c>
    </row>
    <row r="50">
      <c r="A50" s="12">
        <f>A30</f>
        <v/>
      </c>
      <c r="D50" s="35">
        <f>D30</f>
        <v/>
      </c>
      <c r="H50" s="36">
        <f>$D30*H$35</f>
        <v/>
      </c>
      <c r="I50" s="36">
        <f>$D30*I$35</f>
        <v/>
      </c>
      <c r="J50" s="36">
        <f>$D30*J$35</f>
        <v/>
      </c>
      <c r="K50" s="36">
        <f>$D30*K$35</f>
        <v/>
      </c>
      <c r="L50" s="36">
        <f>$D30*L$35</f>
        <v/>
      </c>
      <c r="M50" s="36">
        <f>$D30*M$35</f>
        <v/>
      </c>
    </row>
    <row r="51">
      <c r="A51" s="17">
        <f>A31</f>
        <v/>
      </c>
      <c r="D51" s="33">
        <f>D31</f>
        <v/>
      </c>
      <c r="H51" s="34">
        <f>$D31*H$35</f>
        <v/>
      </c>
      <c r="I51" s="34">
        <f>$D31*I$35</f>
        <v/>
      </c>
      <c r="J51" s="34">
        <f>$D31*J$35</f>
        <v/>
      </c>
      <c r="K51" s="34">
        <f>$D31*K$35</f>
        <v/>
      </c>
      <c r="L51" s="34">
        <f>$D31*L$35</f>
        <v/>
      </c>
      <c r="M51" s="34">
        <f>$D31*M$35</f>
        <v/>
      </c>
    </row>
    <row r="52">
      <c r="A52" s="12">
        <f>A32</f>
        <v/>
      </c>
      <c r="D52" s="35">
        <f>D32</f>
        <v/>
      </c>
      <c r="H52" s="36">
        <f>$D32*H$35</f>
        <v/>
      </c>
      <c r="I52" s="36">
        <f>$D32*I$35</f>
        <v/>
      </c>
      <c r="J52" s="36">
        <f>$D32*J$35</f>
        <v/>
      </c>
      <c r="K52" s="36">
        <f>$D32*K$35</f>
        <v/>
      </c>
      <c r="L52" s="36">
        <f>$D32*L$35</f>
        <v/>
      </c>
      <c r="M52" s="36">
        <f>$D32*M$35</f>
        <v/>
      </c>
    </row>
    <row r="53">
      <c r="A53" s="17">
        <f>A33</f>
        <v/>
      </c>
      <c r="D53" s="33">
        <f>D33</f>
        <v/>
      </c>
      <c r="H53" s="34">
        <f>$D33*H$35</f>
        <v/>
      </c>
      <c r="I53" s="34">
        <f>$D33*I$35</f>
        <v/>
      </c>
      <c r="J53" s="34">
        <f>$D33*J$35</f>
        <v/>
      </c>
      <c r="K53" s="34">
        <f>$D33*K$35</f>
        <v/>
      </c>
      <c r="L53" s="34">
        <f>$D33*L$35</f>
        <v/>
      </c>
      <c r="M53" s="34">
        <f>$D33*M$35</f>
        <v/>
      </c>
    </row>
    <row r="56">
      <c r="A56" s="3" t="inlineStr">
        <is>
          <t>5.  Each role's SHARE of the take  (% — falls as the firm grows)</t>
        </is>
      </c>
    </row>
    <row r="57">
      <c r="A57" s="32" t="inlineStr">
        <is>
          <t>Role</t>
        </is>
      </c>
      <c r="D57" s="16" t="inlineStr">
        <is>
          <t>Weight</t>
        </is>
      </c>
      <c r="H57" s="16" t="inlineStr">
        <is>
          <t>@ $20m</t>
        </is>
      </c>
      <c r="I57" s="16" t="inlineStr">
        <is>
          <t>@ $300m</t>
        </is>
      </c>
      <c r="J57" s="16" t="inlineStr">
        <is>
          <t>@ $500m</t>
        </is>
      </c>
      <c r="K57" s="16" t="inlineStr">
        <is>
          <t>@ $1,000m</t>
        </is>
      </c>
      <c r="L57" s="16" t="inlineStr">
        <is>
          <t>@ $2,000m</t>
        </is>
      </c>
      <c r="M57" s="16" t="inlineStr">
        <is>
          <t>@ $5,000m</t>
        </is>
      </c>
    </row>
    <row r="58">
      <c r="A58" s="17">
        <f>A21</f>
        <v/>
      </c>
      <c r="D58" s="33">
        <f>D21</f>
        <v/>
      </c>
      <c r="H58" s="37">
        <f>IF(H$34=0,0,H21*$D21/H$34)</f>
        <v/>
      </c>
      <c r="I58" s="37">
        <f>IF(I$34=0,0,I21*$D21/I$34)</f>
        <v/>
      </c>
      <c r="J58" s="37">
        <f>IF(J$34=0,0,J21*$D21/J$34)</f>
        <v/>
      </c>
      <c r="K58" s="37">
        <f>IF(K$34=0,0,K21*$D21/K$34)</f>
        <v/>
      </c>
      <c r="L58" s="37">
        <f>IF(L$34=0,0,L21*$D21/L$34)</f>
        <v/>
      </c>
      <c r="M58" s="37">
        <f>IF(M$34=0,0,M21*$D21/M$34)</f>
        <v/>
      </c>
    </row>
    <row r="59">
      <c r="A59" s="12">
        <f>A22</f>
        <v/>
      </c>
      <c r="D59" s="35">
        <f>D22</f>
        <v/>
      </c>
      <c r="H59" s="38">
        <f>IF(H$34=0,0,H22*$D22/H$34)</f>
        <v/>
      </c>
      <c r="I59" s="38">
        <f>IF(I$34=0,0,I22*$D22/I$34)</f>
        <v/>
      </c>
      <c r="J59" s="38">
        <f>IF(J$34=0,0,J22*$D22/J$34)</f>
        <v/>
      </c>
      <c r="K59" s="38">
        <f>IF(K$34=0,0,K22*$D22/K$34)</f>
        <v/>
      </c>
      <c r="L59" s="38">
        <f>IF(L$34=0,0,L22*$D22/L$34)</f>
        <v/>
      </c>
      <c r="M59" s="38">
        <f>IF(M$34=0,0,M22*$D22/M$34)</f>
        <v/>
      </c>
    </row>
    <row r="60">
      <c r="A60" s="17">
        <f>A23</f>
        <v/>
      </c>
      <c r="D60" s="33">
        <f>D23</f>
        <v/>
      </c>
      <c r="H60" s="37">
        <f>IF(H$34=0,0,H23*$D23/H$34)</f>
        <v/>
      </c>
      <c r="I60" s="37">
        <f>IF(I$34=0,0,I23*$D23/I$34)</f>
        <v/>
      </c>
      <c r="J60" s="37">
        <f>IF(J$34=0,0,J23*$D23/J$34)</f>
        <v/>
      </c>
      <c r="K60" s="37">
        <f>IF(K$34=0,0,K23*$D23/K$34)</f>
        <v/>
      </c>
      <c r="L60" s="37">
        <f>IF(L$34=0,0,L23*$D23/L$34)</f>
        <v/>
      </c>
      <c r="M60" s="37">
        <f>IF(M$34=0,0,M23*$D23/M$34)</f>
        <v/>
      </c>
    </row>
    <row r="61">
      <c r="A61" s="12">
        <f>A24</f>
        <v/>
      </c>
      <c r="D61" s="35">
        <f>D24</f>
        <v/>
      </c>
      <c r="H61" s="38">
        <f>IF(H$34=0,0,H24*$D24/H$34)</f>
        <v/>
      </c>
      <c r="I61" s="38">
        <f>IF(I$34=0,0,I24*$D24/I$34)</f>
        <v/>
      </c>
      <c r="J61" s="38">
        <f>IF(J$34=0,0,J24*$D24/J$34)</f>
        <v/>
      </c>
      <c r="K61" s="38">
        <f>IF(K$34=0,0,K24*$D24/K$34)</f>
        <v/>
      </c>
      <c r="L61" s="38">
        <f>IF(L$34=0,0,L24*$D24/L$34)</f>
        <v/>
      </c>
      <c r="M61" s="38">
        <f>IF(M$34=0,0,M24*$D24/M$34)</f>
        <v/>
      </c>
    </row>
    <row r="62">
      <c r="A62" s="17">
        <f>A25</f>
        <v/>
      </c>
      <c r="D62" s="33">
        <f>D25</f>
        <v/>
      </c>
      <c r="H62" s="37">
        <f>IF(H$34=0,0,H25*$D25/H$34)</f>
        <v/>
      </c>
      <c r="I62" s="37">
        <f>IF(I$34=0,0,I25*$D25/I$34)</f>
        <v/>
      </c>
      <c r="J62" s="37">
        <f>IF(J$34=0,0,J25*$D25/J$34)</f>
        <v/>
      </c>
      <c r="K62" s="37">
        <f>IF(K$34=0,0,K25*$D25/K$34)</f>
        <v/>
      </c>
      <c r="L62" s="37">
        <f>IF(L$34=0,0,L25*$D25/L$34)</f>
        <v/>
      </c>
      <c r="M62" s="37">
        <f>IF(M$34=0,0,M25*$D25/M$34)</f>
        <v/>
      </c>
    </row>
    <row r="63">
      <c r="A63" s="12">
        <f>A26</f>
        <v/>
      </c>
      <c r="D63" s="35">
        <f>D26</f>
        <v/>
      </c>
      <c r="H63" s="38">
        <f>IF(H$34=0,0,H26*$D26/H$34)</f>
        <v/>
      </c>
      <c r="I63" s="38">
        <f>IF(I$34=0,0,I26*$D26/I$34)</f>
        <v/>
      </c>
      <c r="J63" s="38">
        <f>IF(J$34=0,0,J26*$D26/J$34)</f>
        <v/>
      </c>
      <c r="K63" s="38">
        <f>IF(K$34=0,0,K26*$D26/K$34)</f>
        <v/>
      </c>
      <c r="L63" s="38">
        <f>IF(L$34=0,0,L26*$D26/L$34)</f>
        <v/>
      </c>
      <c r="M63" s="38">
        <f>IF(M$34=0,0,M26*$D26/M$34)</f>
        <v/>
      </c>
    </row>
    <row r="64">
      <c r="A64" s="17">
        <f>A27</f>
        <v/>
      </c>
      <c r="D64" s="33">
        <f>D27</f>
        <v/>
      </c>
      <c r="H64" s="37">
        <f>IF(H$34=0,0,H27*$D27/H$34)</f>
        <v/>
      </c>
      <c r="I64" s="37">
        <f>IF(I$34=0,0,I27*$D27/I$34)</f>
        <v/>
      </c>
      <c r="J64" s="37">
        <f>IF(J$34=0,0,J27*$D27/J$34)</f>
        <v/>
      </c>
      <c r="K64" s="37">
        <f>IF(K$34=0,0,K27*$D27/K$34)</f>
        <v/>
      </c>
      <c r="L64" s="37">
        <f>IF(L$34=0,0,L27*$D27/L$34)</f>
        <v/>
      </c>
      <c r="M64" s="37">
        <f>IF(M$34=0,0,M27*$D27/M$34)</f>
        <v/>
      </c>
    </row>
    <row r="65">
      <c r="A65" s="12">
        <f>A28</f>
        <v/>
      </c>
      <c r="D65" s="35">
        <f>D28</f>
        <v/>
      </c>
      <c r="H65" s="38">
        <f>IF(H$34=0,0,H28*$D28/H$34)</f>
        <v/>
      </c>
      <c r="I65" s="38">
        <f>IF(I$34=0,0,I28*$D28/I$34)</f>
        <v/>
      </c>
      <c r="J65" s="38">
        <f>IF(J$34=0,0,J28*$D28/J$34)</f>
        <v/>
      </c>
      <c r="K65" s="38">
        <f>IF(K$34=0,0,K28*$D28/K$34)</f>
        <v/>
      </c>
      <c r="L65" s="38">
        <f>IF(L$34=0,0,L28*$D28/L$34)</f>
        <v/>
      </c>
      <c r="M65" s="38">
        <f>IF(M$34=0,0,M28*$D28/M$34)</f>
        <v/>
      </c>
    </row>
    <row r="66">
      <c r="A66" s="17">
        <f>A29</f>
        <v/>
      </c>
      <c r="D66" s="33">
        <f>D29</f>
        <v/>
      </c>
      <c r="H66" s="37">
        <f>IF(H$34=0,0,H29*$D29/H$34)</f>
        <v/>
      </c>
      <c r="I66" s="37">
        <f>IF(I$34=0,0,I29*$D29/I$34)</f>
        <v/>
      </c>
      <c r="J66" s="37">
        <f>IF(J$34=0,0,J29*$D29/J$34)</f>
        <v/>
      </c>
      <c r="K66" s="37">
        <f>IF(K$34=0,0,K29*$D29/K$34)</f>
        <v/>
      </c>
      <c r="L66" s="37">
        <f>IF(L$34=0,0,L29*$D29/L$34)</f>
        <v/>
      </c>
      <c r="M66" s="37">
        <f>IF(M$34=0,0,M29*$D29/M$34)</f>
        <v/>
      </c>
    </row>
    <row r="67">
      <c r="A67" s="12">
        <f>A30</f>
        <v/>
      </c>
      <c r="D67" s="35">
        <f>D30</f>
        <v/>
      </c>
      <c r="H67" s="38">
        <f>IF(H$34=0,0,H30*$D30/H$34)</f>
        <v/>
      </c>
      <c r="I67" s="38">
        <f>IF(I$34=0,0,I30*$D30/I$34)</f>
        <v/>
      </c>
      <c r="J67" s="38">
        <f>IF(J$34=0,0,J30*$D30/J$34)</f>
        <v/>
      </c>
      <c r="K67" s="38">
        <f>IF(K$34=0,0,K30*$D30/K$34)</f>
        <v/>
      </c>
      <c r="L67" s="38">
        <f>IF(L$34=0,0,L30*$D30/L$34)</f>
        <v/>
      </c>
      <c r="M67" s="38">
        <f>IF(M$34=0,0,M30*$D30/M$34)</f>
        <v/>
      </c>
    </row>
    <row r="68">
      <c r="A68" s="17">
        <f>A31</f>
        <v/>
      </c>
      <c r="D68" s="33">
        <f>D31</f>
        <v/>
      </c>
      <c r="H68" s="37">
        <f>IF(H$34=0,0,H31*$D31/H$34)</f>
        <v/>
      </c>
      <c r="I68" s="37">
        <f>IF(I$34=0,0,I31*$D31/I$34)</f>
        <v/>
      </c>
      <c r="J68" s="37">
        <f>IF(J$34=0,0,J31*$D31/J$34)</f>
        <v/>
      </c>
      <c r="K68" s="37">
        <f>IF(K$34=0,0,K31*$D31/K$34)</f>
        <v/>
      </c>
      <c r="L68" s="37">
        <f>IF(L$34=0,0,L31*$D31/L$34)</f>
        <v/>
      </c>
      <c r="M68" s="37">
        <f>IF(M$34=0,0,M31*$D31/M$34)</f>
        <v/>
      </c>
    </row>
    <row r="69">
      <c r="A69" s="12">
        <f>A32</f>
        <v/>
      </c>
      <c r="D69" s="35">
        <f>D32</f>
        <v/>
      </c>
      <c r="H69" s="38">
        <f>IF(H$34=0,0,H32*$D32/H$34)</f>
        <v/>
      </c>
      <c r="I69" s="38">
        <f>IF(I$34=0,0,I32*$D32/I$34)</f>
        <v/>
      </c>
      <c r="J69" s="38">
        <f>IF(J$34=0,0,J32*$D32/J$34)</f>
        <v/>
      </c>
      <c r="K69" s="38">
        <f>IF(K$34=0,0,K32*$D32/K$34)</f>
        <v/>
      </c>
      <c r="L69" s="38">
        <f>IF(L$34=0,0,L32*$D32/L$34)</f>
        <v/>
      </c>
      <c r="M69" s="38">
        <f>IF(M$34=0,0,M32*$D32/M$34)</f>
        <v/>
      </c>
    </row>
    <row r="70">
      <c r="A70" s="17">
        <f>A33</f>
        <v/>
      </c>
      <c r="D70" s="33">
        <f>D33</f>
        <v/>
      </c>
      <c r="H70" s="37">
        <f>IF(H$34=0,0,H33*$D33/H$34)</f>
        <v/>
      </c>
      <c r="I70" s="37">
        <f>IF(I$34=0,0,I33*$D33/I$34)</f>
        <v/>
      </c>
      <c r="J70" s="37">
        <f>IF(J$34=0,0,J33*$D33/J$34)</f>
        <v/>
      </c>
      <c r="K70" s="37">
        <f>IF(K$34=0,0,K33*$D33/K$34)</f>
        <v/>
      </c>
      <c r="L70" s="37">
        <f>IF(L$34=0,0,L33*$D33/L$34)</f>
        <v/>
      </c>
      <c r="M70" s="37">
        <f>IF(M$34=0,0,M33*$D33/M$34)</f>
        <v/>
      </c>
    </row>
    <row r="73">
      <c r="A73" s="3" t="inlineStr">
        <is>
          <t>6.  Share of the take PER PERSON  (% — one individual's slice)</t>
        </is>
      </c>
    </row>
    <row r="74">
      <c r="A74" s="32" t="inlineStr">
        <is>
          <t>Role</t>
        </is>
      </c>
      <c r="D74" s="16" t="inlineStr">
        <is>
          <t>Weight</t>
        </is>
      </c>
      <c r="H74" s="16" t="inlineStr">
        <is>
          <t>@ $20m</t>
        </is>
      </c>
      <c r="I74" s="16" t="inlineStr">
        <is>
          <t>@ $300m</t>
        </is>
      </c>
      <c r="J74" s="16" t="inlineStr">
        <is>
          <t>@ $500m</t>
        </is>
      </c>
      <c r="K74" s="16" t="inlineStr">
        <is>
          <t>@ $1,000m</t>
        </is>
      </c>
      <c r="L74" s="16" t="inlineStr">
        <is>
          <t>@ $2,000m</t>
        </is>
      </c>
      <c r="M74" s="16" t="inlineStr">
        <is>
          <t>@ $5,000m</t>
        </is>
      </c>
    </row>
    <row r="75">
      <c r="A75" s="17">
        <f>A21</f>
        <v/>
      </c>
      <c r="D75" s="33">
        <f>D21</f>
        <v/>
      </c>
      <c r="H75" s="39">
        <f>$D21/H$34</f>
        <v/>
      </c>
      <c r="I75" s="39">
        <f>$D21/I$34</f>
        <v/>
      </c>
      <c r="J75" s="39">
        <f>$D21/J$34</f>
        <v/>
      </c>
      <c r="K75" s="39">
        <f>$D21/K$34</f>
        <v/>
      </c>
      <c r="L75" s="39">
        <f>$D21/L$34</f>
        <v/>
      </c>
      <c r="M75" s="39">
        <f>$D21/M$34</f>
        <v/>
      </c>
    </row>
    <row r="76">
      <c r="A76" s="12">
        <f>A22</f>
        <v/>
      </c>
      <c r="D76" s="35">
        <f>D22</f>
        <v/>
      </c>
      <c r="H76" s="40">
        <f>$D22/H$34</f>
        <v/>
      </c>
      <c r="I76" s="40">
        <f>$D22/I$34</f>
        <v/>
      </c>
      <c r="J76" s="40">
        <f>$D22/J$34</f>
        <v/>
      </c>
      <c r="K76" s="40">
        <f>$D22/K$34</f>
        <v/>
      </c>
      <c r="L76" s="40">
        <f>$D22/L$34</f>
        <v/>
      </c>
      <c r="M76" s="40">
        <f>$D22/M$34</f>
        <v/>
      </c>
    </row>
    <row r="77">
      <c r="A77" s="17">
        <f>A23</f>
        <v/>
      </c>
      <c r="D77" s="33">
        <f>D23</f>
        <v/>
      </c>
      <c r="H77" s="39">
        <f>$D23/H$34</f>
        <v/>
      </c>
      <c r="I77" s="39">
        <f>$D23/I$34</f>
        <v/>
      </c>
      <c r="J77" s="39">
        <f>$D23/J$34</f>
        <v/>
      </c>
      <c r="K77" s="39">
        <f>$D23/K$34</f>
        <v/>
      </c>
      <c r="L77" s="39">
        <f>$D23/L$34</f>
        <v/>
      </c>
      <c r="M77" s="39">
        <f>$D23/M$34</f>
        <v/>
      </c>
    </row>
    <row r="78">
      <c r="A78" s="12">
        <f>A24</f>
        <v/>
      </c>
      <c r="D78" s="35">
        <f>D24</f>
        <v/>
      </c>
      <c r="H78" s="40">
        <f>$D24/H$34</f>
        <v/>
      </c>
      <c r="I78" s="40">
        <f>$D24/I$34</f>
        <v/>
      </c>
      <c r="J78" s="40">
        <f>$D24/J$34</f>
        <v/>
      </c>
      <c r="K78" s="40">
        <f>$D24/K$34</f>
        <v/>
      </c>
      <c r="L78" s="40">
        <f>$D24/L$34</f>
        <v/>
      </c>
      <c r="M78" s="40">
        <f>$D24/M$34</f>
        <v/>
      </c>
    </row>
    <row r="79">
      <c r="A79" s="17">
        <f>A25</f>
        <v/>
      </c>
      <c r="D79" s="33">
        <f>D25</f>
        <v/>
      </c>
      <c r="H79" s="39">
        <f>$D25/H$34</f>
        <v/>
      </c>
      <c r="I79" s="39">
        <f>$D25/I$34</f>
        <v/>
      </c>
      <c r="J79" s="39">
        <f>$D25/J$34</f>
        <v/>
      </c>
      <c r="K79" s="39">
        <f>$D25/K$34</f>
        <v/>
      </c>
      <c r="L79" s="39">
        <f>$D25/L$34</f>
        <v/>
      </c>
      <c r="M79" s="39">
        <f>$D25/M$34</f>
        <v/>
      </c>
    </row>
    <row r="80">
      <c r="A80" s="12">
        <f>A26</f>
        <v/>
      </c>
      <c r="D80" s="35">
        <f>D26</f>
        <v/>
      </c>
      <c r="H80" s="40">
        <f>$D26/H$34</f>
        <v/>
      </c>
      <c r="I80" s="40">
        <f>$D26/I$34</f>
        <v/>
      </c>
      <c r="J80" s="40">
        <f>$D26/J$34</f>
        <v/>
      </c>
      <c r="K80" s="40">
        <f>$D26/K$34</f>
        <v/>
      </c>
      <c r="L80" s="40">
        <f>$D26/L$34</f>
        <v/>
      </c>
      <c r="M80" s="40">
        <f>$D26/M$34</f>
        <v/>
      </c>
    </row>
    <row r="81">
      <c r="A81" s="17">
        <f>A27</f>
        <v/>
      </c>
      <c r="D81" s="33">
        <f>D27</f>
        <v/>
      </c>
      <c r="H81" s="39">
        <f>$D27/H$34</f>
        <v/>
      </c>
      <c r="I81" s="39">
        <f>$D27/I$34</f>
        <v/>
      </c>
      <c r="J81" s="39">
        <f>$D27/J$34</f>
        <v/>
      </c>
      <c r="K81" s="39">
        <f>$D27/K$34</f>
        <v/>
      </c>
      <c r="L81" s="39">
        <f>$D27/L$34</f>
        <v/>
      </c>
      <c r="M81" s="39">
        <f>$D27/M$34</f>
        <v/>
      </c>
    </row>
    <row r="82">
      <c r="A82" s="12">
        <f>A28</f>
        <v/>
      </c>
      <c r="D82" s="35">
        <f>D28</f>
        <v/>
      </c>
      <c r="H82" s="40">
        <f>$D28/H$34</f>
        <v/>
      </c>
      <c r="I82" s="40">
        <f>$D28/I$34</f>
        <v/>
      </c>
      <c r="J82" s="40">
        <f>$D28/J$34</f>
        <v/>
      </c>
      <c r="K82" s="40">
        <f>$D28/K$34</f>
        <v/>
      </c>
      <c r="L82" s="40">
        <f>$D28/L$34</f>
        <v/>
      </c>
      <c r="M82" s="40">
        <f>$D28/M$34</f>
        <v/>
      </c>
    </row>
    <row r="83">
      <c r="A83" s="17">
        <f>A29</f>
        <v/>
      </c>
      <c r="D83" s="33">
        <f>D29</f>
        <v/>
      </c>
      <c r="H83" s="39">
        <f>$D29/H$34</f>
        <v/>
      </c>
      <c r="I83" s="39">
        <f>$D29/I$34</f>
        <v/>
      </c>
      <c r="J83" s="39">
        <f>$D29/J$34</f>
        <v/>
      </c>
      <c r="K83" s="39">
        <f>$D29/K$34</f>
        <v/>
      </c>
      <c r="L83" s="39">
        <f>$D29/L$34</f>
        <v/>
      </c>
      <c r="M83" s="39">
        <f>$D29/M$34</f>
        <v/>
      </c>
    </row>
    <row r="84">
      <c r="A84" s="12">
        <f>A30</f>
        <v/>
      </c>
      <c r="D84" s="35">
        <f>D30</f>
        <v/>
      </c>
      <c r="H84" s="40">
        <f>$D30/H$34</f>
        <v/>
      </c>
      <c r="I84" s="40">
        <f>$D30/I$34</f>
        <v/>
      </c>
      <c r="J84" s="40">
        <f>$D30/J$34</f>
        <v/>
      </c>
      <c r="K84" s="40">
        <f>$D30/K$34</f>
        <v/>
      </c>
      <c r="L84" s="40">
        <f>$D30/L$34</f>
        <v/>
      </c>
      <c r="M84" s="40">
        <f>$D30/M$34</f>
        <v/>
      </c>
    </row>
    <row r="85">
      <c r="A85" s="17">
        <f>A31</f>
        <v/>
      </c>
      <c r="D85" s="33">
        <f>D31</f>
        <v/>
      </c>
      <c r="H85" s="39">
        <f>$D31/H$34</f>
        <v/>
      </c>
      <c r="I85" s="39">
        <f>$D31/I$34</f>
        <v/>
      </c>
      <c r="J85" s="39">
        <f>$D31/J$34</f>
        <v/>
      </c>
      <c r="K85" s="39">
        <f>$D31/K$34</f>
        <v/>
      </c>
      <c r="L85" s="39">
        <f>$D31/L$34</f>
        <v/>
      </c>
      <c r="M85" s="39">
        <f>$D31/M$34</f>
        <v/>
      </c>
    </row>
    <row r="86">
      <c r="A86" s="12">
        <f>A32</f>
        <v/>
      </c>
      <c r="D86" s="35">
        <f>D32</f>
        <v/>
      </c>
      <c r="H86" s="40">
        <f>$D32/H$34</f>
        <v/>
      </c>
      <c r="I86" s="40">
        <f>$D32/I$34</f>
        <v/>
      </c>
      <c r="J86" s="40">
        <f>$D32/J$34</f>
        <v/>
      </c>
      <c r="K86" s="40">
        <f>$D32/K$34</f>
        <v/>
      </c>
      <c r="L86" s="40">
        <f>$D32/L$34</f>
        <v/>
      </c>
      <c r="M86" s="40">
        <f>$D32/M$34</f>
        <v/>
      </c>
    </row>
    <row r="87">
      <c r="A87" s="17">
        <f>A33</f>
        <v/>
      </c>
      <c r="D87" s="33">
        <f>D33</f>
        <v/>
      </c>
      <c r="H87" s="39">
        <f>$D33/H$34</f>
        <v/>
      </c>
      <c r="I87" s="39">
        <f>$D33/I$34</f>
        <v/>
      </c>
      <c r="J87" s="39">
        <f>$D33/J$34</f>
        <v/>
      </c>
      <c r="K87" s="39">
        <f>$D33/K$34</f>
        <v/>
      </c>
      <c r="L87" s="39">
        <f>$D33/L$34</f>
        <v/>
      </c>
      <c r="M87" s="39">
        <f>$D33/M$34</f>
        <v/>
      </c>
    </row>
  </sheetData>
  <mergeCells count="8">
    <mergeCell ref="A1:M1"/>
    <mergeCell ref="A7:E7"/>
    <mergeCell ref="A10:E10"/>
    <mergeCell ref="A5:E5"/>
    <mergeCell ref="A8:E8"/>
    <mergeCell ref="A6:E6"/>
    <mergeCell ref="A2:M2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2" customHeight="1">
      <c r="A1" s="41" t="inlineStr">
        <is>
          <t>Each role's share of the take as AUM grows $100m → $2bn</t>
        </is>
      </c>
    </row>
    <row r="2">
      <c r="A2" s="2" t="inlineStr">
        <is>
          <t>Share = role weight × headcount ÷ total weighted units. Real weights from Compensation.xlsx. Columns sum to 100%.</t>
        </is>
      </c>
    </row>
    <row r="4">
      <c r="A4" s="32" t="inlineStr">
        <is>
          <t>AUM (millions) →</t>
        </is>
      </c>
      <c r="B4" s="42" t="n">
        <v>100</v>
      </c>
      <c r="C4" s="42" t="n">
        <v>200</v>
      </c>
      <c r="D4" s="42" t="n">
        <v>300</v>
      </c>
      <c r="E4" s="42" t="n">
        <v>400</v>
      </c>
      <c r="F4" s="42" t="n">
        <v>500</v>
      </c>
      <c r="G4" s="42" t="n">
        <v>600</v>
      </c>
      <c r="H4" s="42" t="n">
        <v>700</v>
      </c>
      <c r="I4" s="42" t="n">
        <v>800</v>
      </c>
      <c r="J4" s="42" t="n">
        <v>900</v>
      </c>
      <c r="K4" s="42" t="n">
        <v>1000</v>
      </c>
      <c r="L4" s="42" t="n">
        <v>1100</v>
      </c>
      <c r="M4" s="42" t="n">
        <v>1200</v>
      </c>
      <c r="N4" s="42" t="n">
        <v>1300</v>
      </c>
      <c r="O4" s="42" t="n">
        <v>1400</v>
      </c>
      <c r="P4" s="42" t="n">
        <v>1500</v>
      </c>
      <c r="Q4" s="42" t="n">
        <v>1600</v>
      </c>
      <c r="R4" s="42" t="n">
        <v>1700</v>
      </c>
      <c r="S4" s="42" t="n">
        <v>1800</v>
      </c>
      <c r="T4" s="42" t="n">
        <v>1900</v>
      </c>
      <c r="U4" s="42" t="n">
        <v>2000</v>
      </c>
    </row>
    <row r="5">
      <c r="A5" s="17" t="inlineStr">
        <is>
          <t>CIO  (wt 16)</t>
        </is>
      </c>
      <c r="B5" s="37" t="n">
        <v>0.3444034440344403</v>
      </c>
      <c r="C5" s="37" t="n">
        <v>0.3198172472872644</v>
      </c>
      <c r="D5" s="37" t="n">
        <v>0.2985074626865671</v>
      </c>
      <c r="E5" s="37" t="n">
        <v>0.2586903799514956</v>
      </c>
      <c r="F5" s="37" t="n">
        <v>0.2282453637660485</v>
      </c>
      <c r="G5" s="37" t="n">
        <v>0.2183406113537118</v>
      </c>
      <c r="H5" s="37" t="n">
        <v>0.209259743656814</v>
      </c>
      <c r="I5" s="37" t="n">
        <v>0.2009040683073832</v>
      </c>
      <c r="J5" s="37" t="n">
        <v>0.1931900507123883</v>
      </c>
      <c r="K5" s="37" t="n">
        <v>0.186046511627907</v>
      </c>
      <c r="L5" s="37" t="n">
        <v>0.1801801801801802</v>
      </c>
      <c r="M5" s="37" t="n">
        <v>0.1746724890829695</v>
      </c>
      <c r="N5" s="37" t="n">
        <v>0.1694915254237288</v>
      </c>
      <c r="O5" s="37" t="n">
        <v>0.1646090534979424</v>
      </c>
      <c r="P5" s="37" t="n">
        <v>0.16</v>
      </c>
      <c r="Q5" s="37" t="n">
        <v>0.1556420233463035</v>
      </c>
      <c r="R5" s="37" t="n">
        <v>0.1515151515151515</v>
      </c>
      <c r="S5" s="37" t="n">
        <v>0.1476014760147601</v>
      </c>
      <c r="T5" s="37" t="n">
        <v>0.1438848920863309</v>
      </c>
      <c r="U5" s="37" t="n">
        <v>0.1403508771929824</v>
      </c>
    </row>
    <row r="6">
      <c r="A6" s="12" t="inlineStr">
        <is>
          <t>PM  (wt 8)</t>
        </is>
      </c>
      <c r="B6" s="38" t="n">
        <v>0.3444034440344403</v>
      </c>
      <c r="C6" s="38" t="n">
        <v>0.3198172472872644</v>
      </c>
      <c r="D6" s="38" t="n">
        <v>0.2985074626865671</v>
      </c>
      <c r="E6" s="38" t="n">
        <v>0.3233629749393694</v>
      </c>
      <c r="F6" s="38" t="n">
        <v>0.3423680456490728</v>
      </c>
      <c r="G6" s="38" t="n">
        <v>0.3275109170305677</v>
      </c>
      <c r="H6" s="38" t="n">
        <v>0.313889615485221</v>
      </c>
      <c r="I6" s="38" t="n">
        <v>0.3013561024610748</v>
      </c>
      <c r="J6" s="38" t="n">
        <v>0.2897850760685825</v>
      </c>
      <c r="K6" s="38" t="n">
        <v>0.2790697674418605</v>
      </c>
      <c r="L6" s="38" t="n">
        <v>0.2792792792792793</v>
      </c>
      <c r="M6" s="38" t="n">
        <v>0.2794759825327511</v>
      </c>
      <c r="N6" s="38" t="n">
        <v>0.2796610169491525</v>
      </c>
      <c r="O6" s="38" t="n">
        <v>0.2798353909465021</v>
      </c>
      <c r="P6" s="38" t="n">
        <v>0.28</v>
      </c>
      <c r="Q6" s="38" t="n">
        <v>0.2801556420233463</v>
      </c>
      <c r="R6" s="38" t="n">
        <v>0.2803030303030303</v>
      </c>
      <c r="S6" s="38" t="n">
        <v>0.2804428044280443</v>
      </c>
      <c r="T6" s="38" t="n">
        <v>0.2805755395683453</v>
      </c>
      <c r="U6" s="38" t="n">
        <v>0.2807017543859649</v>
      </c>
    </row>
    <row r="7">
      <c r="A7" s="17" t="inlineStr">
        <is>
          <t>Junior PM  (wt 6)</t>
        </is>
      </c>
      <c r="B7" s="37" t="n">
        <v>0</v>
      </c>
      <c r="C7" s="37" t="n">
        <v>0</v>
      </c>
      <c r="D7" s="37" t="n">
        <v>0</v>
      </c>
      <c r="E7" s="37" t="n">
        <v>0.04850444624090541</v>
      </c>
      <c r="F7" s="37" t="n">
        <v>0.0855920114122682</v>
      </c>
      <c r="G7" s="37" t="n">
        <v>0.08187772925764192</v>
      </c>
      <c r="H7" s="37" t="n">
        <v>0.07847240387130526</v>
      </c>
      <c r="I7" s="37" t="n">
        <v>0.0753390256152687</v>
      </c>
      <c r="J7" s="37" t="n">
        <v>0.07244626901714563</v>
      </c>
      <c r="K7" s="37" t="n">
        <v>0.06976744186046512</v>
      </c>
      <c r="L7" s="37" t="n">
        <v>0.07432432432432433</v>
      </c>
      <c r="M7" s="37" t="n">
        <v>0.07860262008733625</v>
      </c>
      <c r="N7" s="37" t="n">
        <v>0.0826271186440678</v>
      </c>
      <c r="O7" s="37" t="n">
        <v>0.08641975308641973</v>
      </c>
      <c r="P7" s="37" t="n">
        <v>0.09</v>
      </c>
      <c r="Q7" s="37" t="n">
        <v>0.09338521400778212</v>
      </c>
      <c r="R7" s="37" t="n">
        <v>0.09659090909090909</v>
      </c>
      <c r="S7" s="37" t="n">
        <v>0.0996309963099631</v>
      </c>
      <c r="T7" s="37" t="n">
        <v>0.1025179856115108</v>
      </c>
      <c r="U7" s="37" t="n">
        <v>0.1052631578947368</v>
      </c>
    </row>
    <row r="8">
      <c r="A8" s="12" t="inlineStr">
        <is>
          <t>Senior Analyst  (wt 4)</t>
        </is>
      </c>
      <c r="B8" s="38" t="n">
        <v>0.02460024600246002</v>
      </c>
      <c r="C8" s="38" t="n">
        <v>0.05139920045688178</v>
      </c>
      <c r="D8" s="38" t="n">
        <v>0.07462686567164178</v>
      </c>
      <c r="E8" s="38" t="n">
        <v>0.06467259498787389</v>
      </c>
      <c r="F8" s="38" t="n">
        <v>0.05706134094151213</v>
      </c>
      <c r="G8" s="38" t="n">
        <v>0.06550218340611354</v>
      </c>
      <c r="H8" s="38" t="n">
        <v>0.07324091027988491</v>
      </c>
      <c r="I8" s="38" t="n">
        <v>0.08036162732295328</v>
      </c>
      <c r="J8" s="38" t="n">
        <v>0.08693552282057475</v>
      </c>
      <c r="K8" s="38" t="n">
        <v>0.09302325581395349</v>
      </c>
      <c r="L8" s="38" t="n">
        <v>0.0945945945945946</v>
      </c>
      <c r="M8" s="38" t="n">
        <v>0.0960698689956332</v>
      </c>
      <c r="N8" s="38" t="n">
        <v>0.09745762711864406</v>
      </c>
      <c r="O8" s="38" t="n">
        <v>0.09876543209876543</v>
      </c>
      <c r="P8" s="38" t="n">
        <v>0.1</v>
      </c>
      <c r="Q8" s="38" t="n">
        <v>0.1011673151750973</v>
      </c>
      <c r="R8" s="38" t="n">
        <v>0.1022727272727273</v>
      </c>
      <c r="S8" s="38" t="n">
        <v>0.1033210332103321</v>
      </c>
      <c r="T8" s="38" t="n">
        <v>0.1043165467625899</v>
      </c>
      <c r="U8" s="38" t="n">
        <v>0.1052631578947368</v>
      </c>
    </row>
    <row r="9">
      <c r="A9" s="17" t="inlineStr">
        <is>
          <t>Analyst  (wt 2.5)</t>
        </is>
      </c>
      <c r="B9" s="37" t="n">
        <v>0.03075030750307502</v>
      </c>
      <c r="C9" s="37" t="n">
        <v>0.06424900057110222</v>
      </c>
      <c r="D9" s="37" t="n">
        <v>0.09328358208955223</v>
      </c>
      <c r="E9" s="37" t="n">
        <v>0.1010509296685529</v>
      </c>
      <c r="F9" s="37" t="n">
        <v>0.1069900142653352</v>
      </c>
      <c r="G9" s="37" t="n">
        <v>0.1091703056768559</v>
      </c>
      <c r="H9" s="37" t="n">
        <v>0.1111692388176825</v>
      </c>
      <c r="I9" s="37" t="n">
        <v>0.113008538422903</v>
      </c>
      <c r="J9" s="37" t="n">
        <v>0.1147065926104806</v>
      </c>
      <c r="K9" s="37" t="n">
        <v>0.1162790697674419</v>
      </c>
      <c r="L9" s="37" t="n">
        <v>0.1238738738738739</v>
      </c>
      <c r="M9" s="37" t="n">
        <v>0.1310043668122271</v>
      </c>
      <c r="N9" s="37" t="n">
        <v>0.1377118644067797</v>
      </c>
      <c r="O9" s="37" t="n">
        <v>0.1440329218106996</v>
      </c>
      <c r="P9" s="37" t="n">
        <v>0.15</v>
      </c>
      <c r="Q9" s="37" t="n">
        <v>0.1556420233463035</v>
      </c>
      <c r="R9" s="37" t="n">
        <v>0.1609848484848485</v>
      </c>
      <c r="S9" s="37" t="n">
        <v>0.1660516605166052</v>
      </c>
      <c r="T9" s="37" t="n">
        <v>0.170863309352518</v>
      </c>
      <c r="U9" s="37" t="n">
        <v>0.1754385964912281</v>
      </c>
    </row>
    <row r="10">
      <c r="A10" s="12" t="inlineStr">
        <is>
          <t>CEO  (wt 8)</t>
        </is>
      </c>
      <c r="B10" s="38" t="n">
        <v>0.1722017220172201</v>
      </c>
      <c r="C10" s="38" t="n">
        <v>0.1599086236436322</v>
      </c>
      <c r="D10" s="38" t="n">
        <v>0.1492537313432836</v>
      </c>
      <c r="E10" s="38" t="n">
        <v>0.1293451899757478</v>
      </c>
      <c r="F10" s="38" t="n">
        <v>0.1141226818830243</v>
      </c>
      <c r="G10" s="38" t="n">
        <v>0.1091703056768559</v>
      </c>
      <c r="H10" s="38" t="n">
        <v>0.104629871828407</v>
      </c>
      <c r="I10" s="38" t="n">
        <v>0.1004520341536916</v>
      </c>
      <c r="J10" s="38" t="n">
        <v>0.09659502535619416</v>
      </c>
      <c r="K10" s="38" t="n">
        <v>0.09302325581395349</v>
      </c>
      <c r="L10" s="38" t="n">
        <v>0.0900900900900901</v>
      </c>
      <c r="M10" s="38" t="n">
        <v>0.08733624454148473</v>
      </c>
      <c r="N10" s="38" t="n">
        <v>0.0847457627118644</v>
      </c>
      <c r="O10" s="38" t="n">
        <v>0.08230452674897119</v>
      </c>
      <c r="P10" s="38" t="n">
        <v>0.08</v>
      </c>
      <c r="Q10" s="38" t="n">
        <v>0.07782101167315175</v>
      </c>
      <c r="R10" s="38" t="n">
        <v>0.07575757575757576</v>
      </c>
      <c r="S10" s="38" t="n">
        <v>0.07380073800738007</v>
      </c>
      <c r="T10" s="38" t="n">
        <v>0.07194244604316546</v>
      </c>
      <c r="U10" s="38" t="n">
        <v>0.07017543859649122</v>
      </c>
    </row>
    <row r="11">
      <c r="A11" s="17" t="inlineStr">
        <is>
          <t>CFO  (wt 3)</t>
        </is>
      </c>
      <c r="B11" s="37" t="n">
        <v>0.01291512915129151</v>
      </c>
      <c r="C11" s="37" t="n">
        <v>0.01199314677327242</v>
      </c>
      <c r="D11" s="37" t="n">
        <v>0.01119402985074627</v>
      </c>
      <c r="E11" s="37" t="n">
        <v>0.009700889248181084</v>
      </c>
      <c r="F11" s="37" t="n">
        <v>0.008559201141226821</v>
      </c>
      <c r="G11" s="37" t="n">
        <v>0.01473799126637555</v>
      </c>
      <c r="H11" s="37" t="n">
        <v>0.02040282500653937</v>
      </c>
      <c r="I11" s="37" t="n">
        <v>0.02561526870919136</v>
      </c>
      <c r="J11" s="37" t="n">
        <v>0.03042743298720117</v>
      </c>
      <c r="K11" s="37" t="n">
        <v>0.03488372093023256</v>
      </c>
      <c r="L11" s="37" t="n">
        <v>0.03378378378378379</v>
      </c>
      <c r="M11" s="37" t="n">
        <v>0.03275109170305677</v>
      </c>
      <c r="N11" s="37" t="n">
        <v>0.03177966101694915</v>
      </c>
      <c r="O11" s="37" t="n">
        <v>0.0308641975308642</v>
      </c>
      <c r="P11" s="37" t="n">
        <v>0.03</v>
      </c>
      <c r="Q11" s="37" t="n">
        <v>0.02918287937743191</v>
      </c>
      <c r="R11" s="37" t="n">
        <v>0.02840909090909091</v>
      </c>
      <c r="S11" s="37" t="n">
        <v>0.02767527675276753</v>
      </c>
      <c r="T11" s="37" t="n">
        <v>0.02697841726618705</v>
      </c>
      <c r="U11" s="37" t="n">
        <v>0.02631578947368421</v>
      </c>
    </row>
    <row r="12">
      <c r="A12" s="12" t="inlineStr">
        <is>
          <t>COO  (wt 3)</t>
        </is>
      </c>
      <c r="B12" s="38" t="n">
        <v>0.03228782287822878</v>
      </c>
      <c r="C12" s="38" t="n">
        <v>0.02998286693318104</v>
      </c>
      <c r="D12" s="38" t="n">
        <v>0.02798507462686567</v>
      </c>
      <c r="E12" s="38" t="n">
        <v>0.02425222312045271</v>
      </c>
      <c r="F12" s="38" t="n">
        <v>0.02139800285306705</v>
      </c>
      <c r="G12" s="38" t="n">
        <v>0.02456331877729257</v>
      </c>
      <c r="H12" s="38" t="n">
        <v>0.02746534135495684</v>
      </c>
      <c r="I12" s="38" t="n">
        <v>0.03013561024610748</v>
      </c>
      <c r="J12" s="38" t="n">
        <v>0.03260082105771554</v>
      </c>
      <c r="K12" s="38" t="n">
        <v>0.03488372093023256</v>
      </c>
      <c r="L12" s="38" t="n">
        <v>0.03378378378378379</v>
      </c>
      <c r="M12" s="38" t="n">
        <v>0.03275109170305677</v>
      </c>
      <c r="N12" s="38" t="n">
        <v>0.03177966101694915</v>
      </c>
      <c r="O12" s="38" t="n">
        <v>0.0308641975308642</v>
      </c>
      <c r="P12" s="38" t="n">
        <v>0.03</v>
      </c>
      <c r="Q12" s="38" t="n">
        <v>0.02918287937743191</v>
      </c>
      <c r="R12" s="38" t="n">
        <v>0.02840909090909091</v>
      </c>
      <c r="S12" s="38" t="n">
        <v>0.02767527675276753</v>
      </c>
      <c r="T12" s="38" t="n">
        <v>0.02697841726618705</v>
      </c>
      <c r="U12" s="38" t="n">
        <v>0.02631578947368421</v>
      </c>
    </row>
    <row r="13">
      <c r="A13" s="17" t="inlineStr">
        <is>
          <t>IR  (wt 1)</t>
        </is>
      </c>
      <c r="B13" s="37" t="n">
        <v>0.02767527675276752</v>
      </c>
      <c r="C13" s="37" t="n">
        <v>0.03283837806967447</v>
      </c>
      <c r="D13" s="37" t="n">
        <v>0.03731343283582089</v>
      </c>
      <c r="E13" s="37" t="n">
        <v>0.03233629749393695</v>
      </c>
      <c r="F13" s="37" t="n">
        <v>0.02853067047075606</v>
      </c>
      <c r="G13" s="37" t="n">
        <v>0.02729257641921397</v>
      </c>
      <c r="H13" s="37" t="n">
        <v>0.02615746795710176</v>
      </c>
      <c r="I13" s="37" t="n">
        <v>0.0251130085384229</v>
      </c>
      <c r="J13" s="37" t="n">
        <v>0.02414875633904854</v>
      </c>
      <c r="K13" s="37" t="n">
        <v>0.02325581395348837</v>
      </c>
      <c r="L13" s="37" t="n">
        <v>0.02252252252252252</v>
      </c>
      <c r="M13" s="37" t="n">
        <v>0.02183406113537118</v>
      </c>
      <c r="N13" s="37" t="n">
        <v>0.0211864406779661</v>
      </c>
      <c r="O13" s="37" t="n">
        <v>0.0205761316872428</v>
      </c>
      <c r="P13" s="37" t="n">
        <v>0.02</v>
      </c>
      <c r="Q13" s="37" t="n">
        <v>0.01945525291828794</v>
      </c>
      <c r="R13" s="37" t="n">
        <v>0.01893939393939394</v>
      </c>
      <c r="S13" s="37" t="n">
        <v>0.01845018450184502</v>
      </c>
      <c r="T13" s="37" t="n">
        <v>0.01798561151079137</v>
      </c>
      <c r="U13" s="37" t="n">
        <v>0.01754385964912281</v>
      </c>
    </row>
    <row r="14">
      <c r="A14" s="12" t="inlineStr">
        <is>
          <t>Support  (wt 1)</t>
        </is>
      </c>
      <c r="B14" s="38" t="n">
        <v>0.01076260762607626</v>
      </c>
      <c r="C14" s="38" t="n">
        <v>0.009994288977727013</v>
      </c>
      <c r="D14" s="38" t="n">
        <v>0.009328358208955223</v>
      </c>
      <c r="E14" s="38" t="n">
        <v>0.008084074373484237</v>
      </c>
      <c r="F14" s="38" t="n">
        <v>0.007132667617689016</v>
      </c>
      <c r="G14" s="38" t="n">
        <v>0.008187772925764192</v>
      </c>
      <c r="H14" s="38" t="n">
        <v>0.009155113784985614</v>
      </c>
      <c r="I14" s="38" t="n">
        <v>0.01004520341536916</v>
      </c>
      <c r="J14" s="38" t="n">
        <v>0.01086694035257184</v>
      </c>
      <c r="K14" s="38" t="n">
        <v>0.01162790697674419</v>
      </c>
      <c r="L14" s="38" t="n">
        <v>0.01126126126126126</v>
      </c>
      <c r="M14" s="38" t="n">
        <v>0.01091703056768559</v>
      </c>
      <c r="N14" s="38" t="n">
        <v>0.01059322033898305</v>
      </c>
      <c r="O14" s="38" t="n">
        <v>0.0102880658436214</v>
      </c>
      <c r="P14" s="38" t="n">
        <v>0.01</v>
      </c>
      <c r="Q14" s="38" t="n">
        <v>0.009727626459143969</v>
      </c>
      <c r="R14" s="38" t="n">
        <v>0.00946969696969697</v>
      </c>
      <c r="S14" s="38" t="n">
        <v>0.009225092250922509</v>
      </c>
      <c r="T14" s="38" t="n">
        <v>0.008992805755395683</v>
      </c>
      <c r="U14" s="38" t="n">
        <v>0.008771929824561403</v>
      </c>
    </row>
    <row r="15">
      <c r="A15" s="17" t="inlineStr">
        <is>
          <t>Execution  (wt 2)</t>
        </is>
      </c>
      <c r="B15" s="37" t="n">
        <v>0</v>
      </c>
      <c r="C15" s="37" t="n">
        <v>0</v>
      </c>
      <c r="D15" s="37" t="n">
        <v>0</v>
      </c>
      <c r="E15" s="37" t="n">
        <v>0</v>
      </c>
      <c r="F15" s="37" t="n">
        <v>0</v>
      </c>
      <c r="G15" s="37" t="n">
        <v>0.005458515283842795</v>
      </c>
      <c r="H15" s="37" t="n">
        <v>0.0104629871828407</v>
      </c>
      <c r="I15" s="37" t="n">
        <v>0.01506780512305374</v>
      </c>
      <c r="J15" s="37" t="n">
        <v>0.01931900507123883</v>
      </c>
      <c r="K15" s="37" t="n">
        <v>0.02325581395348837</v>
      </c>
      <c r="L15" s="37" t="n">
        <v>0.02252252252252252</v>
      </c>
      <c r="M15" s="37" t="n">
        <v>0.02183406113537118</v>
      </c>
      <c r="N15" s="37" t="n">
        <v>0.0211864406779661</v>
      </c>
      <c r="O15" s="37" t="n">
        <v>0.0205761316872428</v>
      </c>
      <c r="P15" s="37" t="n">
        <v>0.02</v>
      </c>
      <c r="Q15" s="37" t="n">
        <v>0.01945525291828794</v>
      </c>
      <c r="R15" s="37" t="n">
        <v>0.01893939393939394</v>
      </c>
      <c r="S15" s="37" t="n">
        <v>0.01845018450184502</v>
      </c>
      <c r="T15" s="37" t="n">
        <v>0.01798561151079137</v>
      </c>
      <c r="U15" s="37" t="n">
        <v>0.01754385964912281</v>
      </c>
    </row>
    <row r="16">
      <c r="A16" s="12" t="inlineStr">
        <is>
          <t>Risk  (wt 2)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8" t="n">
        <v>0.005458515283842795</v>
      </c>
      <c r="H16" s="38" t="n">
        <v>0.0104629871828407</v>
      </c>
      <c r="I16" s="38" t="n">
        <v>0.01506780512305374</v>
      </c>
      <c r="J16" s="38" t="n">
        <v>0.01931900507123883</v>
      </c>
      <c r="K16" s="38" t="n">
        <v>0.02325581395348837</v>
      </c>
      <c r="L16" s="38" t="n">
        <v>0.02252252252252252</v>
      </c>
      <c r="M16" s="38" t="n">
        <v>0.02183406113537118</v>
      </c>
      <c r="N16" s="38" t="n">
        <v>0.0211864406779661</v>
      </c>
      <c r="O16" s="38" t="n">
        <v>0.0205761316872428</v>
      </c>
      <c r="P16" s="38" t="n">
        <v>0.02</v>
      </c>
      <c r="Q16" s="38" t="n">
        <v>0.01945525291828794</v>
      </c>
      <c r="R16" s="38" t="n">
        <v>0.01893939393939394</v>
      </c>
      <c r="S16" s="38" t="n">
        <v>0.01845018450184502</v>
      </c>
      <c r="T16" s="38" t="n">
        <v>0.01798561151079137</v>
      </c>
      <c r="U16" s="38" t="n">
        <v>0.01754385964912281</v>
      </c>
    </row>
    <row r="17">
      <c r="A17" s="17" t="inlineStr">
        <is>
          <t>Compliance  (wt 1)</t>
        </is>
      </c>
      <c r="B17" s="37" t="n">
        <v>0</v>
      </c>
      <c r="C17" s="37" t="n">
        <v>0</v>
      </c>
      <c r="D17" s="37" t="n">
        <v>0</v>
      </c>
      <c r="E17" s="37" t="n">
        <v>0</v>
      </c>
      <c r="F17" s="37" t="n">
        <v>0</v>
      </c>
      <c r="G17" s="37" t="n">
        <v>0.002729257641921398</v>
      </c>
      <c r="H17" s="37" t="n">
        <v>0.005231493591420351</v>
      </c>
      <c r="I17" s="37" t="n">
        <v>0.00753390256152687</v>
      </c>
      <c r="J17" s="37" t="n">
        <v>0.009659502535619417</v>
      </c>
      <c r="K17" s="37" t="n">
        <v>0.01162790697674419</v>
      </c>
      <c r="L17" s="37" t="n">
        <v>0.01126126126126126</v>
      </c>
      <c r="M17" s="37" t="n">
        <v>0.01091703056768559</v>
      </c>
      <c r="N17" s="37" t="n">
        <v>0.01059322033898305</v>
      </c>
      <c r="O17" s="37" t="n">
        <v>0.0102880658436214</v>
      </c>
      <c r="P17" s="37" t="n">
        <v>0.01</v>
      </c>
      <c r="Q17" s="37" t="n">
        <v>0.009727626459143969</v>
      </c>
      <c r="R17" s="37" t="n">
        <v>0.00946969696969697</v>
      </c>
      <c r="S17" s="37" t="n">
        <v>0.009225092250922509</v>
      </c>
      <c r="T17" s="37" t="n">
        <v>0.008992805755395683</v>
      </c>
      <c r="U17" s="37" t="n">
        <v>0.008771929824561403</v>
      </c>
    </row>
    <row r="18">
      <c r="A18" s="32" t="inlineStr">
        <is>
          <t>Total (check)</t>
        </is>
      </c>
      <c r="B18" s="43">
        <f>SUM(B5:B17)</f>
        <v/>
      </c>
      <c r="C18" s="43">
        <f>SUM(C5:C17)</f>
        <v/>
      </c>
      <c r="D18" s="43">
        <f>SUM(D5:D17)</f>
        <v/>
      </c>
      <c r="E18" s="43">
        <f>SUM(E5:E17)</f>
        <v/>
      </c>
      <c r="F18" s="43">
        <f>SUM(F5:F17)</f>
        <v/>
      </c>
      <c r="G18" s="43">
        <f>SUM(G5:G17)</f>
        <v/>
      </c>
      <c r="H18" s="43">
        <f>SUM(H5:H17)</f>
        <v/>
      </c>
      <c r="I18" s="43">
        <f>SUM(I5:I17)</f>
        <v/>
      </c>
      <c r="J18" s="43">
        <f>SUM(J5:J17)</f>
        <v/>
      </c>
      <c r="K18" s="43">
        <f>SUM(K5:K17)</f>
        <v/>
      </c>
      <c r="L18" s="43">
        <f>SUM(L5:L17)</f>
        <v/>
      </c>
      <c r="M18" s="43">
        <f>SUM(M5:M17)</f>
        <v/>
      </c>
      <c r="N18" s="43">
        <f>SUM(N5:N17)</f>
        <v/>
      </c>
      <c r="O18" s="43">
        <f>SUM(O5:O17)</f>
        <v/>
      </c>
      <c r="P18" s="43">
        <f>SUM(P5:P17)</f>
        <v/>
      </c>
      <c r="Q18" s="43">
        <f>SUM(Q5:Q17)</f>
        <v/>
      </c>
      <c r="R18" s="43">
        <f>SUM(R5:R17)</f>
        <v/>
      </c>
      <c r="S18" s="43">
        <f>SUM(S5:S17)</f>
        <v/>
      </c>
      <c r="T18" s="43">
        <f>SUM(T5:T17)</f>
        <v/>
      </c>
      <c r="U18" s="43">
        <f>SUM(U5:U17)</f>
        <v/>
      </c>
    </row>
  </sheetData>
  <mergeCells count="2">
    <mergeCell ref="A1:U1"/>
    <mergeCell ref="A2:U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2" customHeight="1">
      <c r="A1" s="41" t="inlineStr">
        <is>
          <t>Per-person share of the take as AUM grows $100m → $2bn</t>
        </is>
      </c>
    </row>
    <row r="2">
      <c r="A2" s="2" t="inlineStr">
        <is>
          <t>Per-person share = role weight ÷ total weighted units. One individual's slice; declines for every role as the firm hires.</t>
        </is>
      </c>
    </row>
    <row r="4">
      <c r="A4" s="32" t="inlineStr">
        <is>
          <t>AUM (millions) →</t>
        </is>
      </c>
      <c r="B4" s="42" t="n">
        <v>100</v>
      </c>
      <c r="C4" s="42" t="n">
        <v>200</v>
      </c>
      <c r="D4" s="42" t="n">
        <v>300</v>
      </c>
      <c r="E4" s="42" t="n">
        <v>400</v>
      </c>
      <c r="F4" s="42" t="n">
        <v>500</v>
      </c>
      <c r="G4" s="42" t="n">
        <v>600</v>
      </c>
      <c r="H4" s="42" t="n">
        <v>700</v>
      </c>
      <c r="I4" s="42" t="n">
        <v>800</v>
      </c>
      <c r="J4" s="42" t="n">
        <v>900</v>
      </c>
      <c r="K4" s="42" t="n">
        <v>1000</v>
      </c>
      <c r="L4" s="42" t="n">
        <v>1100</v>
      </c>
      <c r="M4" s="42" t="n">
        <v>1200</v>
      </c>
      <c r="N4" s="42" t="n">
        <v>1300</v>
      </c>
      <c r="O4" s="42" t="n">
        <v>1400</v>
      </c>
      <c r="P4" s="42" t="n">
        <v>1500</v>
      </c>
      <c r="Q4" s="42" t="n">
        <v>1600</v>
      </c>
      <c r="R4" s="42" t="n">
        <v>1700</v>
      </c>
      <c r="S4" s="42" t="n">
        <v>1800</v>
      </c>
      <c r="T4" s="42" t="n">
        <v>1900</v>
      </c>
      <c r="U4" s="42" t="n">
        <v>2000</v>
      </c>
    </row>
    <row r="5">
      <c r="A5" s="17" t="inlineStr">
        <is>
          <t>CIO  (wt 16)</t>
        </is>
      </c>
      <c r="B5" s="39" t="n">
        <v>0.3444034440344403</v>
      </c>
      <c r="C5" s="39" t="n">
        <v>0.3198172472872644</v>
      </c>
      <c r="D5" s="39" t="n">
        <v>0.2985074626865671</v>
      </c>
      <c r="E5" s="39" t="n">
        <v>0.2586903799514956</v>
      </c>
      <c r="F5" s="39" t="n">
        <v>0.2282453637660485</v>
      </c>
      <c r="G5" s="39" t="n">
        <v>0.2183406113537118</v>
      </c>
      <c r="H5" s="39" t="n">
        <v>0.209259743656814</v>
      </c>
      <c r="I5" s="39" t="n">
        <v>0.2009040683073832</v>
      </c>
      <c r="J5" s="39" t="n">
        <v>0.1931900507123883</v>
      </c>
      <c r="K5" s="39" t="n">
        <v>0.186046511627907</v>
      </c>
      <c r="L5" s="39" t="n">
        <v>0.1801801801801802</v>
      </c>
      <c r="M5" s="39" t="n">
        <v>0.1746724890829695</v>
      </c>
      <c r="N5" s="39" t="n">
        <v>0.1694915254237288</v>
      </c>
      <c r="O5" s="39" t="n">
        <v>0.1646090534979424</v>
      </c>
      <c r="P5" s="39" t="n">
        <v>0.16</v>
      </c>
      <c r="Q5" s="39" t="n">
        <v>0.1556420233463035</v>
      </c>
      <c r="R5" s="39" t="n">
        <v>0.1515151515151515</v>
      </c>
      <c r="S5" s="39" t="n">
        <v>0.1476014760147601</v>
      </c>
      <c r="T5" s="39" t="n">
        <v>0.1438848920863309</v>
      </c>
      <c r="U5" s="39" t="n">
        <v>0.1403508771929824</v>
      </c>
    </row>
    <row r="6">
      <c r="A6" s="12" t="inlineStr">
        <is>
          <t>PM  (wt 8)</t>
        </is>
      </c>
      <c r="B6" s="40" t="n">
        <v>0.1722017220172201</v>
      </c>
      <c r="C6" s="40" t="n">
        <v>0.1599086236436322</v>
      </c>
      <c r="D6" s="40" t="n">
        <v>0.1492537313432836</v>
      </c>
      <c r="E6" s="40" t="n">
        <v>0.1293451899757478</v>
      </c>
      <c r="F6" s="40" t="n">
        <v>0.1141226818830243</v>
      </c>
      <c r="G6" s="40" t="n">
        <v>0.1091703056768559</v>
      </c>
      <c r="H6" s="40" t="n">
        <v>0.104629871828407</v>
      </c>
      <c r="I6" s="40" t="n">
        <v>0.1004520341536916</v>
      </c>
      <c r="J6" s="40" t="n">
        <v>0.09659502535619416</v>
      </c>
      <c r="K6" s="40" t="n">
        <v>0.09302325581395349</v>
      </c>
      <c r="L6" s="40" t="n">
        <v>0.0900900900900901</v>
      </c>
      <c r="M6" s="40" t="n">
        <v>0.08733624454148473</v>
      </c>
      <c r="N6" s="40" t="n">
        <v>0.0847457627118644</v>
      </c>
      <c r="O6" s="40" t="n">
        <v>0.08230452674897119</v>
      </c>
      <c r="P6" s="40" t="n">
        <v>0.08</v>
      </c>
      <c r="Q6" s="40" t="n">
        <v>0.07782101167315175</v>
      </c>
      <c r="R6" s="40" t="n">
        <v>0.07575757575757576</v>
      </c>
      <c r="S6" s="40" t="n">
        <v>0.07380073800738007</v>
      </c>
      <c r="T6" s="40" t="n">
        <v>0.07194244604316546</v>
      </c>
      <c r="U6" s="40" t="n">
        <v>0.07017543859649122</v>
      </c>
    </row>
    <row r="7">
      <c r="A7" s="17" t="inlineStr">
        <is>
          <t>Junior PM  (wt 6)</t>
        </is>
      </c>
      <c r="B7" s="39" t="n">
        <v>0.1291512915129151</v>
      </c>
      <c r="C7" s="39" t="n">
        <v>0.1199314677327241</v>
      </c>
      <c r="D7" s="39" t="n">
        <v>0.1119402985074627</v>
      </c>
      <c r="E7" s="39" t="n">
        <v>0.09700889248181083</v>
      </c>
      <c r="F7" s="39" t="n">
        <v>0.0855920114122682</v>
      </c>
      <c r="G7" s="39" t="n">
        <v>0.08187772925764192</v>
      </c>
      <c r="H7" s="39" t="n">
        <v>0.07847240387130526</v>
      </c>
      <c r="I7" s="39" t="n">
        <v>0.0753390256152687</v>
      </c>
      <c r="J7" s="39" t="n">
        <v>0.07244626901714563</v>
      </c>
      <c r="K7" s="39" t="n">
        <v>0.06976744186046512</v>
      </c>
      <c r="L7" s="39" t="n">
        <v>0.06756756756756757</v>
      </c>
      <c r="M7" s="39" t="n">
        <v>0.06550218340611354</v>
      </c>
      <c r="N7" s="39" t="n">
        <v>0.0635593220338983</v>
      </c>
      <c r="O7" s="39" t="n">
        <v>0.06172839506172839</v>
      </c>
      <c r="P7" s="39" t="n">
        <v>0.06</v>
      </c>
      <c r="Q7" s="39" t="n">
        <v>0.05836575875486381</v>
      </c>
      <c r="R7" s="39" t="n">
        <v>0.05681818181818182</v>
      </c>
      <c r="S7" s="39" t="n">
        <v>0.05535055350553506</v>
      </c>
      <c r="T7" s="39" t="n">
        <v>0.0539568345323741</v>
      </c>
      <c r="U7" s="39" t="n">
        <v>0.05263157894736842</v>
      </c>
    </row>
    <row r="8">
      <c r="A8" s="12" t="inlineStr">
        <is>
          <t>Senior Analyst  (wt 4)</t>
        </is>
      </c>
      <c r="B8" s="40" t="n">
        <v>0.08610086100861007</v>
      </c>
      <c r="C8" s="40" t="n">
        <v>0.0799543118218161</v>
      </c>
      <c r="D8" s="40" t="n">
        <v>0.07462686567164178</v>
      </c>
      <c r="E8" s="40" t="n">
        <v>0.06467259498787389</v>
      </c>
      <c r="F8" s="40" t="n">
        <v>0.05706134094151213</v>
      </c>
      <c r="G8" s="40" t="n">
        <v>0.05458515283842795</v>
      </c>
      <c r="H8" s="40" t="n">
        <v>0.05231493591420351</v>
      </c>
      <c r="I8" s="40" t="n">
        <v>0.0502260170768458</v>
      </c>
      <c r="J8" s="40" t="n">
        <v>0.04829751267809708</v>
      </c>
      <c r="K8" s="40" t="n">
        <v>0.04651162790697674</v>
      </c>
      <c r="L8" s="40" t="n">
        <v>0.04504504504504505</v>
      </c>
      <c r="M8" s="40" t="n">
        <v>0.04366812227074236</v>
      </c>
      <c r="N8" s="40" t="n">
        <v>0.0423728813559322</v>
      </c>
      <c r="O8" s="40" t="n">
        <v>0.0411522633744856</v>
      </c>
      <c r="P8" s="40" t="n">
        <v>0.04</v>
      </c>
      <c r="Q8" s="40" t="n">
        <v>0.03891050583657588</v>
      </c>
      <c r="R8" s="40" t="n">
        <v>0.03787878787878788</v>
      </c>
      <c r="S8" s="40" t="n">
        <v>0.03690036900369004</v>
      </c>
      <c r="T8" s="40" t="n">
        <v>0.03597122302158273</v>
      </c>
      <c r="U8" s="40" t="n">
        <v>0.03508771929824561</v>
      </c>
    </row>
    <row r="9">
      <c r="A9" s="17" t="inlineStr">
        <is>
          <t>Analyst  (wt 2.5)</t>
        </is>
      </c>
      <c r="B9" s="39" t="n">
        <v>0.0538130381303813</v>
      </c>
      <c r="C9" s="39" t="n">
        <v>0.04997144488863507</v>
      </c>
      <c r="D9" s="39" t="n">
        <v>0.04664179104477612</v>
      </c>
      <c r="E9" s="39" t="n">
        <v>0.04042037186742118</v>
      </c>
      <c r="F9" s="39" t="n">
        <v>0.03566333808844508</v>
      </c>
      <c r="G9" s="39" t="n">
        <v>0.03411572052401746</v>
      </c>
      <c r="H9" s="39" t="n">
        <v>0.03269683494637719</v>
      </c>
      <c r="I9" s="39" t="n">
        <v>0.03139126067302862</v>
      </c>
      <c r="J9" s="39" t="n">
        <v>0.03018594542381068</v>
      </c>
      <c r="K9" s="39" t="n">
        <v>0.02906976744186046</v>
      </c>
      <c r="L9" s="39" t="n">
        <v>0.02815315315315315</v>
      </c>
      <c r="M9" s="39" t="n">
        <v>0.02729257641921397</v>
      </c>
      <c r="N9" s="39" t="n">
        <v>0.02648305084745763</v>
      </c>
      <c r="O9" s="39" t="n">
        <v>0.0257201646090535</v>
      </c>
      <c r="P9" s="39" t="n">
        <v>0.025</v>
      </c>
      <c r="Q9" s="39" t="n">
        <v>0.02431906614785992</v>
      </c>
      <c r="R9" s="39" t="n">
        <v>0.02367424242424242</v>
      </c>
      <c r="S9" s="39" t="n">
        <v>0.02306273062730627</v>
      </c>
      <c r="T9" s="39" t="n">
        <v>0.02248201438848921</v>
      </c>
      <c r="U9" s="39" t="n">
        <v>0.02192982456140351</v>
      </c>
    </row>
    <row r="10">
      <c r="A10" s="12" t="inlineStr">
        <is>
          <t>CEO  (wt 8)</t>
        </is>
      </c>
      <c r="B10" s="40" t="n">
        <v>0.1722017220172201</v>
      </c>
      <c r="C10" s="40" t="n">
        <v>0.1599086236436322</v>
      </c>
      <c r="D10" s="40" t="n">
        <v>0.1492537313432836</v>
      </c>
      <c r="E10" s="40" t="n">
        <v>0.1293451899757478</v>
      </c>
      <c r="F10" s="40" t="n">
        <v>0.1141226818830243</v>
      </c>
      <c r="G10" s="40" t="n">
        <v>0.1091703056768559</v>
      </c>
      <c r="H10" s="40" t="n">
        <v>0.104629871828407</v>
      </c>
      <c r="I10" s="40" t="n">
        <v>0.1004520341536916</v>
      </c>
      <c r="J10" s="40" t="n">
        <v>0.09659502535619416</v>
      </c>
      <c r="K10" s="40" t="n">
        <v>0.09302325581395349</v>
      </c>
      <c r="L10" s="40" t="n">
        <v>0.0900900900900901</v>
      </c>
      <c r="M10" s="40" t="n">
        <v>0.08733624454148473</v>
      </c>
      <c r="N10" s="40" t="n">
        <v>0.0847457627118644</v>
      </c>
      <c r="O10" s="40" t="n">
        <v>0.08230452674897119</v>
      </c>
      <c r="P10" s="40" t="n">
        <v>0.08</v>
      </c>
      <c r="Q10" s="40" t="n">
        <v>0.07782101167315175</v>
      </c>
      <c r="R10" s="40" t="n">
        <v>0.07575757575757576</v>
      </c>
      <c r="S10" s="40" t="n">
        <v>0.07380073800738007</v>
      </c>
      <c r="T10" s="40" t="n">
        <v>0.07194244604316546</v>
      </c>
      <c r="U10" s="40" t="n">
        <v>0.07017543859649122</v>
      </c>
    </row>
    <row r="11">
      <c r="A11" s="17" t="inlineStr">
        <is>
          <t>CFO  (wt 3)</t>
        </is>
      </c>
      <c r="B11" s="39" t="n">
        <v>0.06457564575645755</v>
      </c>
      <c r="C11" s="39" t="n">
        <v>0.05996573386636207</v>
      </c>
      <c r="D11" s="39" t="n">
        <v>0.05597014925373135</v>
      </c>
      <c r="E11" s="39" t="n">
        <v>0.04850444624090541</v>
      </c>
      <c r="F11" s="39" t="n">
        <v>0.0427960057061341</v>
      </c>
      <c r="G11" s="39" t="n">
        <v>0.04093886462882096</v>
      </c>
      <c r="H11" s="39" t="n">
        <v>0.03923620193565263</v>
      </c>
      <c r="I11" s="39" t="n">
        <v>0.03766951280763435</v>
      </c>
      <c r="J11" s="39" t="n">
        <v>0.03622313450857281</v>
      </c>
      <c r="K11" s="39" t="n">
        <v>0.03488372093023256</v>
      </c>
      <c r="L11" s="39" t="n">
        <v>0.03378378378378379</v>
      </c>
      <c r="M11" s="39" t="n">
        <v>0.03275109170305677</v>
      </c>
      <c r="N11" s="39" t="n">
        <v>0.03177966101694915</v>
      </c>
      <c r="O11" s="39" t="n">
        <v>0.0308641975308642</v>
      </c>
      <c r="P11" s="39" t="n">
        <v>0.03</v>
      </c>
      <c r="Q11" s="39" t="n">
        <v>0.02918287937743191</v>
      </c>
      <c r="R11" s="39" t="n">
        <v>0.02840909090909091</v>
      </c>
      <c r="S11" s="39" t="n">
        <v>0.02767527675276753</v>
      </c>
      <c r="T11" s="39" t="n">
        <v>0.02697841726618705</v>
      </c>
      <c r="U11" s="39" t="n">
        <v>0.02631578947368421</v>
      </c>
    </row>
    <row r="12">
      <c r="A12" s="12" t="inlineStr">
        <is>
          <t>COO  (wt 3)</t>
        </is>
      </c>
      <c r="B12" s="40" t="n">
        <v>0.06457564575645755</v>
      </c>
      <c r="C12" s="40" t="n">
        <v>0.05996573386636207</v>
      </c>
      <c r="D12" s="40" t="n">
        <v>0.05597014925373135</v>
      </c>
      <c r="E12" s="40" t="n">
        <v>0.04850444624090541</v>
      </c>
      <c r="F12" s="40" t="n">
        <v>0.0427960057061341</v>
      </c>
      <c r="G12" s="40" t="n">
        <v>0.04093886462882096</v>
      </c>
      <c r="H12" s="40" t="n">
        <v>0.03923620193565263</v>
      </c>
      <c r="I12" s="40" t="n">
        <v>0.03766951280763435</v>
      </c>
      <c r="J12" s="40" t="n">
        <v>0.03622313450857281</v>
      </c>
      <c r="K12" s="40" t="n">
        <v>0.03488372093023256</v>
      </c>
      <c r="L12" s="40" t="n">
        <v>0.03378378378378379</v>
      </c>
      <c r="M12" s="40" t="n">
        <v>0.03275109170305677</v>
      </c>
      <c r="N12" s="40" t="n">
        <v>0.03177966101694915</v>
      </c>
      <c r="O12" s="40" t="n">
        <v>0.0308641975308642</v>
      </c>
      <c r="P12" s="40" t="n">
        <v>0.03</v>
      </c>
      <c r="Q12" s="40" t="n">
        <v>0.02918287937743191</v>
      </c>
      <c r="R12" s="40" t="n">
        <v>0.02840909090909091</v>
      </c>
      <c r="S12" s="40" t="n">
        <v>0.02767527675276753</v>
      </c>
      <c r="T12" s="40" t="n">
        <v>0.02697841726618705</v>
      </c>
      <c r="U12" s="40" t="n">
        <v>0.02631578947368421</v>
      </c>
    </row>
    <row r="13">
      <c r="A13" s="17" t="inlineStr">
        <is>
          <t>IR  (wt 1)</t>
        </is>
      </c>
      <c r="B13" s="39" t="n">
        <v>0.02152521525215252</v>
      </c>
      <c r="C13" s="39" t="n">
        <v>0.01998857795545403</v>
      </c>
      <c r="D13" s="39" t="n">
        <v>0.01865671641791045</v>
      </c>
      <c r="E13" s="39" t="n">
        <v>0.01616814874696847</v>
      </c>
      <c r="F13" s="39" t="n">
        <v>0.01426533523537803</v>
      </c>
      <c r="G13" s="39" t="n">
        <v>0.01364628820960699</v>
      </c>
      <c r="H13" s="39" t="n">
        <v>0.01307873397855088</v>
      </c>
      <c r="I13" s="39" t="n">
        <v>0.01255650426921145</v>
      </c>
      <c r="J13" s="39" t="n">
        <v>0.01207437816952427</v>
      </c>
      <c r="K13" s="39" t="n">
        <v>0.01162790697674419</v>
      </c>
      <c r="L13" s="39" t="n">
        <v>0.01126126126126126</v>
      </c>
      <c r="M13" s="39" t="n">
        <v>0.01091703056768559</v>
      </c>
      <c r="N13" s="39" t="n">
        <v>0.01059322033898305</v>
      </c>
      <c r="O13" s="39" t="n">
        <v>0.0102880658436214</v>
      </c>
      <c r="P13" s="39" t="n">
        <v>0.01</v>
      </c>
      <c r="Q13" s="39" t="n">
        <v>0.009727626459143969</v>
      </c>
      <c r="R13" s="39" t="n">
        <v>0.00946969696969697</v>
      </c>
      <c r="S13" s="39" t="n">
        <v>0.009225092250922509</v>
      </c>
      <c r="T13" s="39" t="n">
        <v>0.008992805755395683</v>
      </c>
      <c r="U13" s="39" t="n">
        <v>0.008771929824561403</v>
      </c>
    </row>
    <row r="14">
      <c r="A14" s="12" t="inlineStr">
        <is>
          <t>Support  (wt 1)</t>
        </is>
      </c>
      <c r="B14" s="40" t="n">
        <v>0.02152521525215252</v>
      </c>
      <c r="C14" s="40" t="n">
        <v>0.01998857795545403</v>
      </c>
      <c r="D14" s="40" t="n">
        <v>0.01865671641791045</v>
      </c>
      <c r="E14" s="40" t="n">
        <v>0.01616814874696847</v>
      </c>
      <c r="F14" s="40" t="n">
        <v>0.01426533523537803</v>
      </c>
      <c r="G14" s="40" t="n">
        <v>0.01364628820960699</v>
      </c>
      <c r="H14" s="40" t="n">
        <v>0.01307873397855088</v>
      </c>
      <c r="I14" s="40" t="n">
        <v>0.01255650426921145</v>
      </c>
      <c r="J14" s="40" t="n">
        <v>0.01207437816952427</v>
      </c>
      <c r="K14" s="40" t="n">
        <v>0.01162790697674419</v>
      </c>
      <c r="L14" s="40" t="n">
        <v>0.01126126126126126</v>
      </c>
      <c r="M14" s="40" t="n">
        <v>0.01091703056768559</v>
      </c>
      <c r="N14" s="40" t="n">
        <v>0.01059322033898305</v>
      </c>
      <c r="O14" s="40" t="n">
        <v>0.0102880658436214</v>
      </c>
      <c r="P14" s="40" t="n">
        <v>0.01</v>
      </c>
      <c r="Q14" s="40" t="n">
        <v>0.009727626459143969</v>
      </c>
      <c r="R14" s="40" t="n">
        <v>0.00946969696969697</v>
      </c>
      <c r="S14" s="40" t="n">
        <v>0.009225092250922509</v>
      </c>
      <c r="T14" s="40" t="n">
        <v>0.008992805755395683</v>
      </c>
      <c r="U14" s="40" t="n">
        <v>0.008771929824561403</v>
      </c>
    </row>
    <row r="15">
      <c r="A15" s="17" t="inlineStr">
        <is>
          <t>Execution  (wt 2)</t>
        </is>
      </c>
      <c r="B15" s="39" t="n">
        <v>0.04305043050430504</v>
      </c>
      <c r="C15" s="39" t="n">
        <v>0.03997715591090805</v>
      </c>
      <c r="D15" s="39" t="n">
        <v>0.03731343283582089</v>
      </c>
      <c r="E15" s="39" t="n">
        <v>0.03233629749393695</v>
      </c>
      <c r="F15" s="39" t="n">
        <v>0.02853067047075606</v>
      </c>
      <c r="G15" s="39" t="n">
        <v>0.02729257641921397</v>
      </c>
      <c r="H15" s="39" t="n">
        <v>0.02615746795710176</v>
      </c>
      <c r="I15" s="39" t="n">
        <v>0.0251130085384229</v>
      </c>
      <c r="J15" s="39" t="n">
        <v>0.02414875633904854</v>
      </c>
      <c r="K15" s="39" t="n">
        <v>0.02325581395348837</v>
      </c>
      <c r="L15" s="39" t="n">
        <v>0.02252252252252252</v>
      </c>
      <c r="M15" s="39" t="n">
        <v>0.02183406113537118</v>
      </c>
      <c r="N15" s="39" t="n">
        <v>0.0211864406779661</v>
      </c>
      <c r="O15" s="39" t="n">
        <v>0.0205761316872428</v>
      </c>
      <c r="P15" s="39" t="n">
        <v>0.02</v>
      </c>
      <c r="Q15" s="39" t="n">
        <v>0.01945525291828794</v>
      </c>
      <c r="R15" s="39" t="n">
        <v>0.01893939393939394</v>
      </c>
      <c r="S15" s="39" t="n">
        <v>0.01845018450184502</v>
      </c>
      <c r="T15" s="39" t="n">
        <v>0.01798561151079137</v>
      </c>
      <c r="U15" s="39" t="n">
        <v>0.01754385964912281</v>
      </c>
    </row>
    <row r="16">
      <c r="A16" s="12" t="inlineStr">
        <is>
          <t>Risk  (wt 2)</t>
        </is>
      </c>
      <c r="B16" s="40" t="n">
        <v>0.04305043050430504</v>
      </c>
      <c r="C16" s="40" t="n">
        <v>0.03997715591090805</v>
      </c>
      <c r="D16" s="40" t="n">
        <v>0.03731343283582089</v>
      </c>
      <c r="E16" s="40" t="n">
        <v>0.03233629749393695</v>
      </c>
      <c r="F16" s="40" t="n">
        <v>0.02853067047075606</v>
      </c>
      <c r="G16" s="40" t="n">
        <v>0.02729257641921397</v>
      </c>
      <c r="H16" s="40" t="n">
        <v>0.02615746795710176</v>
      </c>
      <c r="I16" s="40" t="n">
        <v>0.0251130085384229</v>
      </c>
      <c r="J16" s="40" t="n">
        <v>0.02414875633904854</v>
      </c>
      <c r="K16" s="40" t="n">
        <v>0.02325581395348837</v>
      </c>
      <c r="L16" s="40" t="n">
        <v>0.02252252252252252</v>
      </c>
      <c r="M16" s="40" t="n">
        <v>0.02183406113537118</v>
      </c>
      <c r="N16" s="40" t="n">
        <v>0.0211864406779661</v>
      </c>
      <c r="O16" s="40" t="n">
        <v>0.0205761316872428</v>
      </c>
      <c r="P16" s="40" t="n">
        <v>0.02</v>
      </c>
      <c r="Q16" s="40" t="n">
        <v>0.01945525291828794</v>
      </c>
      <c r="R16" s="40" t="n">
        <v>0.01893939393939394</v>
      </c>
      <c r="S16" s="40" t="n">
        <v>0.01845018450184502</v>
      </c>
      <c r="T16" s="40" t="n">
        <v>0.01798561151079137</v>
      </c>
      <c r="U16" s="40" t="n">
        <v>0.01754385964912281</v>
      </c>
    </row>
    <row r="17">
      <c r="A17" s="17" t="inlineStr">
        <is>
          <t>Compliance  (wt 1)</t>
        </is>
      </c>
      <c r="B17" s="39" t="n">
        <v>0.02152521525215252</v>
      </c>
      <c r="C17" s="39" t="n">
        <v>0.01998857795545403</v>
      </c>
      <c r="D17" s="39" t="n">
        <v>0.01865671641791045</v>
      </c>
      <c r="E17" s="39" t="n">
        <v>0.01616814874696847</v>
      </c>
      <c r="F17" s="39" t="n">
        <v>0.01426533523537803</v>
      </c>
      <c r="G17" s="39" t="n">
        <v>0.01364628820960699</v>
      </c>
      <c r="H17" s="39" t="n">
        <v>0.01307873397855088</v>
      </c>
      <c r="I17" s="39" t="n">
        <v>0.01255650426921145</v>
      </c>
      <c r="J17" s="39" t="n">
        <v>0.01207437816952427</v>
      </c>
      <c r="K17" s="39" t="n">
        <v>0.01162790697674419</v>
      </c>
      <c r="L17" s="39" t="n">
        <v>0.01126126126126126</v>
      </c>
      <c r="M17" s="39" t="n">
        <v>0.01091703056768559</v>
      </c>
      <c r="N17" s="39" t="n">
        <v>0.01059322033898305</v>
      </c>
      <c r="O17" s="39" t="n">
        <v>0.0102880658436214</v>
      </c>
      <c r="P17" s="39" t="n">
        <v>0.01</v>
      </c>
      <c r="Q17" s="39" t="n">
        <v>0.009727626459143969</v>
      </c>
      <c r="R17" s="39" t="n">
        <v>0.00946969696969697</v>
      </c>
      <c r="S17" s="39" t="n">
        <v>0.009225092250922509</v>
      </c>
      <c r="T17" s="39" t="n">
        <v>0.008992805755395683</v>
      </c>
      <c r="U17" s="39" t="n">
        <v>0.008771929824561403</v>
      </c>
    </row>
    <row r="18">
      <c r="A18" s="32" t="inlineStr">
        <is>
          <t>Total units (denominator)</t>
        </is>
      </c>
      <c r="B18" s="44" t="n">
        <v>46.5</v>
      </c>
      <c r="C18" s="44" t="n">
        <v>50</v>
      </c>
      <c r="D18" s="44" t="n">
        <v>53.6</v>
      </c>
      <c r="E18" s="44" t="n">
        <v>61.9</v>
      </c>
      <c r="F18" s="44" t="n">
        <v>70.09999999999999</v>
      </c>
      <c r="G18" s="44" t="n">
        <v>73.3</v>
      </c>
      <c r="H18" s="44" t="n">
        <v>76.5</v>
      </c>
      <c r="I18" s="44" t="n">
        <v>79.59999999999999</v>
      </c>
      <c r="J18" s="44" t="n">
        <v>82.8</v>
      </c>
      <c r="K18" s="44" t="n">
        <v>86</v>
      </c>
      <c r="L18" s="44" t="n">
        <v>88.8</v>
      </c>
      <c r="M18" s="44" t="n">
        <v>91.59999999999999</v>
      </c>
      <c r="N18" s="44" t="n">
        <v>94.40000000000001</v>
      </c>
      <c r="O18" s="44" t="n">
        <v>97.2</v>
      </c>
      <c r="P18" s="44" t="n">
        <v>100</v>
      </c>
      <c r="Q18" s="44" t="n">
        <v>102.8</v>
      </c>
      <c r="R18" s="44" t="n">
        <v>105.6</v>
      </c>
      <c r="S18" s="44" t="n">
        <v>108.4</v>
      </c>
      <c r="T18" s="44" t="n">
        <v>111.2</v>
      </c>
      <c r="U18" s="44" t="n">
        <v>114</v>
      </c>
    </row>
  </sheetData>
  <mergeCells count="2">
    <mergeCell ref="A1:U1"/>
    <mergeCell ref="A2:U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7" t="inlineStr">
        <is>
          <t>Profit simulation by AUM level, with ownership distribution</t>
        </is>
      </c>
    </row>
    <row r="2">
      <c r="A2" s="48" t="inlineStr">
        <is>
          <t>Firm EBIT = management fee + equity take (40% of perf fee) − operating costs. Distributed to owners. Millions; links to Static.</t>
        </is>
      </c>
    </row>
    <row r="4">
      <c r="A4" s="9" t="inlineStr">
        <is>
          <t>P&amp;L line  (millions)</t>
        </is>
      </c>
      <c r="H4" s="49" t="inlineStr">
        <is>
          <t>AUM $20m</t>
        </is>
      </c>
      <c r="I4" s="49" t="inlineStr">
        <is>
          <t>AUM $300m</t>
        </is>
      </c>
      <c r="J4" s="49" t="inlineStr">
        <is>
          <t>AUM $500m</t>
        </is>
      </c>
      <c r="K4" s="49" t="inlineStr">
        <is>
          <t>AUM $1,000m</t>
        </is>
      </c>
      <c r="L4" s="49" t="inlineStr">
        <is>
          <t>AUM $2,000m</t>
        </is>
      </c>
      <c r="M4" s="49" t="inlineStr">
        <is>
          <t>AUM $5,000m</t>
        </is>
      </c>
    </row>
    <row r="5">
      <c r="A5" s="11" t="inlineStr">
        <is>
          <t>AUM</t>
        </is>
      </c>
      <c r="H5" s="50">
        <f>Static!H15</f>
        <v/>
      </c>
      <c r="I5" s="50">
        <f>Static!I15</f>
        <v/>
      </c>
      <c r="J5" s="50">
        <f>Static!J15</f>
        <v/>
      </c>
      <c r="K5" s="50">
        <f>Static!K15</f>
        <v/>
      </c>
      <c r="L5" s="50">
        <f>Static!L15</f>
        <v/>
      </c>
      <c r="M5" s="50">
        <f>Static!M15</f>
        <v/>
      </c>
    </row>
    <row r="6">
      <c r="A6" s="12" t="inlineStr">
        <is>
          <t>Management fee  (1.5% × AUM)</t>
        </is>
      </c>
      <c r="H6" s="51">
        <f>Static!H15*Static!$F$8</f>
        <v/>
      </c>
      <c r="I6" s="51">
        <f>Static!I15*Static!$F$8</f>
        <v/>
      </c>
      <c r="J6" s="51">
        <f>Static!J15*Static!$F$8</f>
        <v/>
      </c>
      <c r="K6" s="51">
        <f>Static!K15*Static!$F$8</f>
        <v/>
      </c>
      <c r="L6" s="51">
        <f>Static!L15*Static!$F$8</f>
        <v/>
      </c>
      <c r="M6" s="51">
        <f>Static!M15*Static!$F$8</f>
        <v/>
      </c>
    </row>
    <row r="7">
      <c r="A7" s="12" t="inlineStr">
        <is>
          <t>Performance fee  (20% × profit)</t>
        </is>
      </c>
      <c r="H7" s="51">
        <f>Static!H15*Static!$F$7*Static!$F$5</f>
        <v/>
      </c>
      <c r="I7" s="51">
        <f>Static!I15*Static!$F$7*Static!$F$5</f>
        <v/>
      </c>
      <c r="J7" s="51">
        <f>Static!J15*Static!$F$7*Static!$F$5</f>
        <v/>
      </c>
      <c r="K7" s="51">
        <f>Static!K15*Static!$F$7*Static!$F$5</f>
        <v/>
      </c>
      <c r="L7" s="51">
        <f>Static!L15*Static!$F$7*Static!$F$5</f>
        <v/>
      </c>
      <c r="M7" s="51">
        <f>Static!M15*Static!$F$7*Static!$F$5</f>
        <v/>
      </c>
    </row>
    <row r="8">
      <c r="A8" s="52" t="inlineStr">
        <is>
          <t xml:space="preserve">  of which team take (60%) → staff</t>
        </is>
      </c>
      <c r="H8" s="53">
        <f>H7*Static!$F$6</f>
        <v/>
      </c>
      <c r="I8" s="53">
        <f>I7*Static!$F$6</f>
        <v/>
      </c>
      <c r="J8" s="53">
        <f>J7*Static!$F$6</f>
        <v/>
      </c>
      <c r="K8" s="53">
        <f>K7*Static!$F$6</f>
        <v/>
      </c>
      <c r="L8" s="53">
        <f>L7*Static!$F$6</f>
        <v/>
      </c>
      <c r="M8" s="53">
        <f>M7*Static!$F$6</f>
        <v/>
      </c>
    </row>
    <row r="9">
      <c r="A9" s="12" t="inlineStr">
        <is>
          <t xml:space="preserve">  of which equity take (40%) → firm</t>
        </is>
      </c>
      <c r="H9" s="51">
        <f>H7*(1-Static!$F$6)</f>
        <v/>
      </c>
      <c r="I9" s="51">
        <f>I7*(1-Static!$F$6)</f>
        <v/>
      </c>
      <c r="J9" s="51">
        <f>J7*(1-Static!$F$6)</f>
        <v/>
      </c>
      <c r="K9" s="51">
        <f>K7*(1-Static!$F$6)</f>
        <v/>
      </c>
      <c r="L9" s="51">
        <f>L7*(1-Static!$F$6)</f>
        <v/>
      </c>
      <c r="M9" s="51">
        <f>M7*(1-Static!$F$6)</f>
        <v/>
      </c>
    </row>
    <row r="10">
      <c r="A10" s="14" t="inlineStr">
        <is>
          <t>Firm revenue  (mgmt fee + equity take)</t>
        </is>
      </c>
      <c r="H10" s="54">
        <f>H6+H9</f>
        <v/>
      </c>
      <c r="I10" s="54">
        <f>I6+I9</f>
        <v/>
      </c>
      <c r="J10" s="54">
        <f>J6+J9</f>
        <v/>
      </c>
      <c r="K10" s="54">
        <f>K6+K9</f>
        <v/>
      </c>
      <c r="L10" s="54">
        <f>L6+L9</f>
        <v/>
      </c>
      <c r="M10" s="54">
        <f>M6+M9</f>
        <v/>
      </c>
    </row>
    <row r="11">
      <c r="A11" s="12" t="inlineStr">
        <is>
          <t>Operating cost: loaded salaries</t>
        </is>
      </c>
      <c r="H11" s="51">
        <f>Static!H36</f>
        <v/>
      </c>
      <c r="I11" s="51">
        <f>Static!I36</f>
        <v/>
      </c>
      <c r="J11" s="51">
        <f>Static!J36</f>
        <v/>
      </c>
      <c r="K11" s="51">
        <f>Static!K36</f>
        <v/>
      </c>
      <c r="L11" s="51">
        <f>Static!L36</f>
        <v/>
      </c>
      <c r="M11" s="51">
        <f>Static!M36</f>
        <v/>
      </c>
    </row>
    <row r="12">
      <c r="A12" s="55" t="inlineStr">
        <is>
          <t>Operating cost: other costs</t>
        </is>
      </c>
      <c r="H12" s="56" t="n">
        <v>0.5</v>
      </c>
      <c r="I12" s="56" t="n">
        <v>1</v>
      </c>
      <c r="J12" s="56" t="n">
        <v>1.5</v>
      </c>
      <c r="K12" s="56" t="n">
        <v>3</v>
      </c>
      <c r="L12" s="56" t="n">
        <v>4.301</v>
      </c>
      <c r="M12" s="56" t="n">
        <v>4.301</v>
      </c>
    </row>
    <row r="13">
      <c r="A13" s="57" t="inlineStr">
        <is>
          <t>Total operating costs</t>
        </is>
      </c>
      <c r="H13" s="58">
        <f>H11+H12</f>
        <v/>
      </c>
      <c r="I13" s="58">
        <f>I11+I12</f>
        <v/>
      </c>
      <c r="J13" s="58">
        <f>J11+J12</f>
        <v/>
      </c>
      <c r="K13" s="58">
        <f>K11+K12</f>
        <v/>
      </c>
      <c r="L13" s="58">
        <f>L11+L12</f>
        <v/>
      </c>
      <c r="M13" s="58">
        <f>M11+M12</f>
        <v/>
      </c>
    </row>
    <row r="14">
      <c r="A14" s="9" t="inlineStr">
        <is>
          <t>EBIT  (profit to owners)</t>
        </is>
      </c>
      <c r="H14" s="59">
        <f>H10-H13</f>
        <v/>
      </c>
      <c r="I14" s="59">
        <f>I10-I13</f>
        <v/>
      </c>
      <c r="J14" s="59">
        <f>J10-J13</f>
        <v/>
      </c>
      <c r="K14" s="59">
        <f>K10-K13</f>
        <v/>
      </c>
      <c r="L14" s="59">
        <f>L10-L13</f>
        <v/>
      </c>
      <c r="M14" s="59">
        <f>M10-M13</f>
        <v/>
      </c>
    </row>
    <row r="15">
      <c r="A15" s="52" t="inlineStr">
        <is>
          <t>EBIT margin (on firm revenue)</t>
        </is>
      </c>
      <c r="H15" s="60">
        <f>IF(H10=0,0,H14/H10)</f>
        <v/>
      </c>
      <c r="I15" s="60">
        <f>IF(I10=0,0,I14/I10)</f>
        <v/>
      </c>
      <c r="J15" s="60">
        <f>IF(J10=0,0,J14/J10)</f>
        <v/>
      </c>
      <c r="K15" s="60">
        <f>IF(K10=0,0,K14/K10)</f>
        <v/>
      </c>
      <c r="L15" s="60">
        <f>IF(L10=0,0,L14/L10)</f>
        <v/>
      </c>
      <c r="M15" s="60">
        <f>IF(M10=0,0,M14/M10)</f>
        <v/>
      </c>
    </row>
    <row r="17">
      <c r="A17" s="9" t="inlineStr">
        <is>
          <t>Ownership distribution of EBIT</t>
        </is>
      </c>
      <c r="H17" s="49" t="inlineStr"/>
      <c r="I17" s="49" t="inlineStr"/>
      <c r="J17" s="49" t="inlineStr"/>
      <c r="K17" s="49" t="inlineStr"/>
      <c r="L17" s="49" t="inlineStr"/>
      <c r="M17" s="49" t="inlineStr"/>
    </row>
    <row r="18">
      <c r="A18" s="17" t="inlineStr">
        <is>
          <t>CIO</t>
        </is>
      </c>
      <c r="G18" s="61" t="n">
        <v>0.636</v>
      </c>
      <c r="H18" s="62">
        <f>H14*$G18</f>
        <v/>
      </c>
      <c r="I18" s="62">
        <f>I14*$G18</f>
        <v/>
      </c>
      <c r="J18" s="62">
        <f>J14*$G18</f>
        <v/>
      </c>
      <c r="K18" s="62">
        <f>K14*$G18</f>
        <v/>
      </c>
      <c r="L18" s="62">
        <f>L14*$G18</f>
        <v/>
      </c>
      <c r="M18" s="62">
        <f>M14*$G18</f>
        <v/>
      </c>
    </row>
    <row r="19">
      <c r="A19" s="12" t="inlineStr">
        <is>
          <t>Portfolio Manager 1</t>
        </is>
      </c>
      <c r="G19" s="61" t="n">
        <v>0.1</v>
      </c>
      <c r="H19" s="51">
        <f>H14*$G19</f>
        <v/>
      </c>
      <c r="I19" s="51">
        <f>I14*$G19</f>
        <v/>
      </c>
      <c r="J19" s="51">
        <f>J14*$G19</f>
        <v/>
      </c>
      <c r="K19" s="51">
        <f>K14*$G19</f>
        <v/>
      </c>
      <c r="L19" s="51">
        <f>L14*$G19</f>
        <v/>
      </c>
      <c r="M19" s="51">
        <f>M14*$G19</f>
        <v/>
      </c>
    </row>
    <row r="20">
      <c r="A20" s="17" t="inlineStr">
        <is>
          <t>Portfolio Manager 2</t>
        </is>
      </c>
      <c r="G20" s="61" t="n">
        <v>0.1</v>
      </c>
      <c r="H20" s="62">
        <f>H14*$G20</f>
        <v/>
      </c>
      <c r="I20" s="62">
        <f>I14*$G20</f>
        <v/>
      </c>
      <c r="J20" s="62">
        <f>J14*$G20</f>
        <v/>
      </c>
      <c r="K20" s="62">
        <f>K14*$G20</f>
        <v/>
      </c>
      <c r="L20" s="62">
        <f>L14*$G20</f>
        <v/>
      </c>
      <c r="M20" s="62">
        <f>M14*$G20</f>
        <v/>
      </c>
    </row>
    <row r="21">
      <c r="A21" s="12" t="inlineStr">
        <is>
          <t>Other owners</t>
        </is>
      </c>
      <c r="G21" s="61" t="n">
        <v>0.164</v>
      </c>
      <c r="H21" s="51">
        <f>H14*$G21</f>
        <v/>
      </c>
      <c r="I21" s="51">
        <f>I14*$G21</f>
        <v/>
      </c>
      <c r="J21" s="51">
        <f>J14*$G21</f>
        <v/>
      </c>
      <c r="K21" s="51">
        <f>K14*$G21</f>
        <v/>
      </c>
      <c r="L21" s="51">
        <f>L14*$G21</f>
        <v/>
      </c>
      <c r="M21" s="51">
        <f>M14*$G21</f>
        <v/>
      </c>
    </row>
    <row r="22">
      <c r="A22" s="14" t="inlineStr">
        <is>
          <t>Total distributed</t>
        </is>
      </c>
      <c r="G22" s="63">
        <f>SUM(G18:G21)</f>
        <v/>
      </c>
      <c r="H22" s="54">
        <f>SUM(H18:H21)</f>
        <v/>
      </c>
      <c r="I22" s="54">
        <f>SUM(I18:I21)</f>
        <v/>
      </c>
      <c r="J22" s="54">
        <f>SUM(J18:J21)</f>
        <v/>
      </c>
      <c r="K22" s="54">
        <f>SUM(K18:K21)</f>
        <v/>
      </c>
      <c r="L22" s="54">
        <f>SUM(L18:L21)</f>
        <v/>
      </c>
      <c r="M22" s="54">
        <f>SUM(M18:M21)</f>
        <v/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7" t="inlineStr">
        <is>
          <t>Total compensation for equity owners — CIO and the two PMs</t>
        </is>
      </c>
    </row>
    <row r="2">
      <c r="A2" s="48" t="inlineStr">
        <is>
          <t>Total comp = base salary + performance take (weight × unit value) + equity distribution (ownership × EBIT). Millions.</t>
        </is>
      </c>
    </row>
    <row r="4">
      <c r="A4" s="9" t="inlineStr">
        <is>
          <t>Component  (millions)</t>
        </is>
      </c>
      <c r="H4" s="49" t="inlineStr">
        <is>
          <t>AUM $20m</t>
        </is>
      </c>
      <c r="I4" s="49" t="inlineStr">
        <is>
          <t>AUM $300m</t>
        </is>
      </c>
      <c r="J4" s="49" t="inlineStr">
        <is>
          <t>AUM $500m</t>
        </is>
      </c>
      <c r="K4" s="49" t="inlineStr">
        <is>
          <t>AUM $1,000m</t>
        </is>
      </c>
      <c r="L4" s="49" t="inlineStr">
        <is>
          <t>AUM $2,000m</t>
        </is>
      </c>
      <c r="M4" s="49" t="inlineStr">
        <is>
          <t>AUM $5,000m</t>
        </is>
      </c>
    </row>
    <row r="5">
      <c r="A5" s="64" t="inlineStr">
        <is>
          <t>CIO  (wt 16, equity 63.6%)</t>
        </is>
      </c>
      <c r="H5" s="65" t="inlineStr"/>
      <c r="I5" s="65" t="inlineStr"/>
      <c r="J5" s="65" t="inlineStr"/>
      <c r="K5" s="65" t="inlineStr"/>
      <c r="L5" s="65" t="inlineStr"/>
      <c r="M5" s="65" t="inlineStr"/>
    </row>
    <row r="6">
      <c r="A6" s="12" t="inlineStr">
        <is>
          <t xml:space="preserve">  Base salary</t>
        </is>
      </c>
      <c r="H6" s="51">
        <f>IF(Static!H15&lt;Static!$F$9,Static!$B$21,Static!$C$21)</f>
        <v/>
      </c>
      <c r="I6" s="51">
        <f>IF(Static!I15&lt;Static!$F$9,Static!$B$21,Static!$C$21)</f>
        <v/>
      </c>
      <c r="J6" s="51">
        <f>IF(Static!J15&lt;Static!$F$9,Static!$B$21,Static!$C$21)</f>
        <v/>
      </c>
      <c r="K6" s="51">
        <f>IF(Static!K15&lt;Static!$F$9,Static!$B$21,Static!$C$21)</f>
        <v/>
      </c>
      <c r="L6" s="51">
        <f>IF(Static!L15&lt;Static!$F$9,Static!$B$21,Static!$C$21)</f>
        <v/>
      </c>
      <c r="M6" s="51">
        <f>IF(Static!M15&lt;Static!$F$9,Static!$B$21,Static!$C$21)</f>
        <v/>
      </c>
    </row>
    <row r="7">
      <c r="A7" s="12" t="inlineStr">
        <is>
          <t xml:space="preserve">  Performance take  (weight × unit value)</t>
        </is>
      </c>
      <c r="H7" s="51">
        <f>Static!$D$21*Static!H$35</f>
        <v/>
      </c>
      <c r="I7" s="51">
        <f>Static!$D$21*Static!I$35</f>
        <v/>
      </c>
      <c r="J7" s="51">
        <f>Static!$D$21*Static!J$35</f>
        <v/>
      </c>
      <c r="K7" s="51">
        <f>Static!$D$21*Static!K$35</f>
        <v/>
      </c>
      <c r="L7" s="51">
        <f>Static!$D$21*Static!L$35</f>
        <v/>
      </c>
      <c r="M7" s="51">
        <f>Static!$D$21*Static!M$35</f>
        <v/>
      </c>
    </row>
    <row r="8">
      <c r="A8" s="55" t="inlineStr">
        <is>
          <t xml:space="preserve">  Equity distribution  (63.6% × EBIT)</t>
        </is>
      </c>
      <c r="G8" s="61" t="n">
        <v>0.636</v>
      </c>
      <c r="H8" s="66">
        <f>'Profit Simulation'!H14*$G8</f>
        <v/>
      </c>
      <c r="I8" s="66">
        <f>'Profit Simulation'!I14*$G8</f>
        <v/>
      </c>
      <c r="J8" s="66">
        <f>'Profit Simulation'!J14*$G8</f>
        <v/>
      </c>
      <c r="K8" s="66">
        <f>'Profit Simulation'!K14*$G8</f>
        <v/>
      </c>
      <c r="L8" s="66">
        <f>'Profit Simulation'!L14*$G8</f>
        <v/>
      </c>
      <c r="M8" s="66">
        <f>'Profit Simulation'!M14*$G8</f>
        <v/>
      </c>
    </row>
    <row r="9">
      <c r="A9" s="14" t="inlineStr">
        <is>
          <t xml:space="preserve">  TOTAL COMP — CIO</t>
        </is>
      </c>
      <c r="H9" s="54">
        <f>SUM(H6:H8)</f>
        <v/>
      </c>
      <c r="I9" s="54">
        <f>SUM(I6:I8)</f>
        <v/>
      </c>
      <c r="J9" s="54">
        <f>SUM(J6:J8)</f>
        <v/>
      </c>
      <c r="K9" s="54">
        <f>SUM(K6:K8)</f>
        <v/>
      </c>
      <c r="L9" s="54">
        <f>SUM(L6:L8)</f>
        <v/>
      </c>
      <c r="M9" s="54">
        <f>SUM(M6:M8)</f>
        <v/>
      </c>
    </row>
    <row r="11">
      <c r="A11" s="64" t="inlineStr">
        <is>
          <t>Portfolio Manager 1  (wt 8, equity 10.0%)</t>
        </is>
      </c>
      <c r="H11" s="65" t="inlineStr"/>
      <c r="I11" s="65" t="inlineStr"/>
      <c r="J11" s="65" t="inlineStr"/>
      <c r="K11" s="65" t="inlineStr"/>
      <c r="L11" s="65" t="inlineStr"/>
      <c r="M11" s="65" t="inlineStr"/>
    </row>
    <row r="12">
      <c r="A12" s="12" t="inlineStr">
        <is>
          <t xml:space="preserve">  Base salary</t>
        </is>
      </c>
      <c r="H12" s="51">
        <f>IF(Static!H15&lt;Static!$F$9,Static!$B$22,Static!$C$22)</f>
        <v/>
      </c>
      <c r="I12" s="51">
        <f>IF(Static!I15&lt;Static!$F$9,Static!$B$22,Static!$C$22)</f>
        <v/>
      </c>
      <c r="J12" s="51">
        <f>IF(Static!J15&lt;Static!$F$9,Static!$B$22,Static!$C$22)</f>
        <v/>
      </c>
      <c r="K12" s="51">
        <f>IF(Static!K15&lt;Static!$F$9,Static!$B$22,Static!$C$22)</f>
        <v/>
      </c>
      <c r="L12" s="51">
        <f>IF(Static!L15&lt;Static!$F$9,Static!$B$22,Static!$C$22)</f>
        <v/>
      </c>
      <c r="M12" s="51">
        <f>IF(Static!M15&lt;Static!$F$9,Static!$B$22,Static!$C$22)</f>
        <v/>
      </c>
    </row>
    <row r="13">
      <c r="A13" s="12" t="inlineStr">
        <is>
          <t xml:space="preserve">  Performance take  (weight × unit value)</t>
        </is>
      </c>
      <c r="H13" s="51">
        <f>Static!$D$22*Static!H$35</f>
        <v/>
      </c>
      <c r="I13" s="51">
        <f>Static!$D$22*Static!I$35</f>
        <v/>
      </c>
      <c r="J13" s="51">
        <f>Static!$D$22*Static!J$35</f>
        <v/>
      </c>
      <c r="K13" s="51">
        <f>Static!$D$22*Static!K$35</f>
        <v/>
      </c>
      <c r="L13" s="51">
        <f>Static!$D$22*Static!L$35</f>
        <v/>
      </c>
      <c r="M13" s="51">
        <f>Static!$D$22*Static!M$35</f>
        <v/>
      </c>
    </row>
    <row r="14">
      <c r="A14" s="55" t="inlineStr">
        <is>
          <t xml:space="preserve">  Equity distribution  (10.0% × EBIT)</t>
        </is>
      </c>
      <c r="G14" s="61" t="n">
        <v>0.1</v>
      </c>
      <c r="H14" s="66">
        <f>'Profit Simulation'!H14*$G14</f>
        <v/>
      </c>
      <c r="I14" s="66">
        <f>'Profit Simulation'!I14*$G14</f>
        <v/>
      </c>
      <c r="J14" s="66">
        <f>'Profit Simulation'!J14*$G14</f>
        <v/>
      </c>
      <c r="K14" s="66">
        <f>'Profit Simulation'!K14*$G14</f>
        <v/>
      </c>
      <c r="L14" s="66">
        <f>'Profit Simulation'!L14*$G14</f>
        <v/>
      </c>
      <c r="M14" s="66">
        <f>'Profit Simulation'!M14*$G14</f>
        <v/>
      </c>
    </row>
    <row r="15">
      <c r="A15" s="14" t="inlineStr">
        <is>
          <t xml:space="preserve">  TOTAL COMP — Portfolio Manager 1</t>
        </is>
      </c>
      <c r="H15" s="54">
        <f>SUM(H12:H14)</f>
        <v/>
      </c>
      <c r="I15" s="54">
        <f>SUM(I12:I14)</f>
        <v/>
      </c>
      <c r="J15" s="54">
        <f>SUM(J12:J14)</f>
        <v/>
      </c>
      <c r="K15" s="54">
        <f>SUM(K12:K14)</f>
        <v/>
      </c>
      <c r="L15" s="54">
        <f>SUM(L12:L14)</f>
        <v/>
      </c>
      <c r="M15" s="54">
        <f>SUM(M12:M14)</f>
        <v/>
      </c>
    </row>
    <row r="17">
      <c r="A17" s="64" t="inlineStr">
        <is>
          <t>Portfolio Manager 2  (wt 8, equity 10.0%)</t>
        </is>
      </c>
      <c r="H17" s="65" t="inlineStr"/>
      <c r="I17" s="65" t="inlineStr"/>
      <c r="J17" s="65" t="inlineStr"/>
      <c r="K17" s="65" t="inlineStr"/>
      <c r="L17" s="65" t="inlineStr"/>
      <c r="M17" s="65" t="inlineStr"/>
    </row>
    <row r="18">
      <c r="A18" s="12" t="inlineStr">
        <is>
          <t xml:space="preserve">  Base salary</t>
        </is>
      </c>
      <c r="H18" s="51">
        <f>IF(Static!H15&lt;Static!$F$9,Static!$B$22,Static!$C$22)</f>
        <v/>
      </c>
      <c r="I18" s="51">
        <f>IF(Static!I15&lt;Static!$F$9,Static!$B$22,Static!$C$22)</f>
        <v/>
      </c>
      <c r="J18" s="51">
        <f>IF(Static!J15&lt;Static!$F$9,Static!$B$22,Static!$C$22)</f>
        <v/>
      </c>
      <c r="K18" s="51">
        <f>IF(Static!K15&lt;Static!$F$9,Static!$B$22,Static!$C$22)</f>
        <v/>
      </c>
      <c r="L18" s="51">
        <f>IF(Static!L15&lt;Static!$F$9,Static!$B$22,Static!$C$22)</f>
        <v/>
      </c>
      <c r="M18" s="51">
        <f>IF(Static!M15&lt;Static!$F$9,Static!$B$22,Static!$C$22)</f>
        <v/>
      </c>
    </row>
    <row r="19">
      <c r="A19" s="12" t="inlineStr">
        <is>
          <t xml:space="preserve">  Performance take  (weight × unit value)</t>
        </is>
      </c>
      <c r="H19" s="51">
        <f>Static!$D$22*Static!H$35</f>
        <v/>
      </c>
      <c r="I19" s="51">
        <f>Static!$D$22*Static!I$35</f>
        <v/>
      </c>
      <c r="J19" s="51">
        <f>Static!$D$22*Static!J$35</f>
        <v/>
      </c>
      <c r="K19" s="51">
        <f>Static!$D$22*Static!K$35</f>
        <v/>
      </c>
      <c r="L19" s="51">
        <f>Static!$D$22*Static!L$35</f>
        <v/>
      </c>
      <c r="M19" s="51">
        <f>Static!$D$22*Static!M$35</f>
        <v/>
      </c>
    </row>
    <row r="20">
      <c r="A20" s="55" t="inlineStr">
        <is>
          <t xml:space="preserve">  Equity distribution  (10.0% × EBIT)</t>
        </is>
      </c>
      <c r="G20" s="61" t="n">
        <v>0.1</v>
      </c>
      <c r="H20" s="66">
        <f>'Profit Simulation'!H14*$G20</f>
        <v/>
      </c>
      <c r="I20" s="66">
        <f>'Profit Simulation'!I14*$G20</f>
        <v/>
      </c>
      <c r="J20" s="66">
        <f>'Profit Simulation'!J14*$G20</f>
        <v/>
      </c>
      <c r="K20" s="66">
        <f>'Profit Simulation'!K14*$G20</f>
        <v/>
      </c>
      <c r="L20" s="66">
        <f>'Profit Simulation'!L14*$G20</f>
        <v/>
      </c>
      <c r="M20" s="66">
        <f>'Profit Simulation'!M14*$G20</f>
        <v/>
      </c>
    </row>
    <row r="21">
      <c r="A21" s="14" t="inlineStr">
        <is>
          <t xml:space="preserve">  TOTAL COMP — Portfolio Manager 2</t>
        </is>
      </c>
      <c r="H21" s="54">
        <f>SUM(H18:H20)</f>
        <v/>
      </c>
      <c r="I21" s="54">
        <f>SUM(I18:I20)</f>
        <v/>
      </c>
      <c r="J21" s="54">
        <f>SUM(J18:J20)</f>
        <v/>
      </c>
      <c r="K21" s="54">
        <f>SUM(K18:K20)</f>
        <v/>
      </c>
      <c r="L21" s="54">
        <f>SUM(L18:L20)</f>
        <v/>
      </c>
      <c r="M21" s="54">
        <f>SUM(M18:M20)</f>
        <v/>
      </c>
    </row>
    <row r="23">
      <c r="A23" s="67" t="inlineStr">
        <is>
          <t>Both PMs combined (equity 20%)</t>
        </is>
      </c>
      <c r="H23" s="68">
        <f>H13*2</f>
        <v/>
      </c>
      <c r="I23" s="68">
        <f>I13*2</f>
        <v/>
      </c>
      <c r="J23" s="68">
        <f>J13*2</f>
        <v/>
      </c>
      <c r="K23" s="68">
        <f>K13*2</f>
        <v/>
      </c>
      <c r="L23" s="68">
        <f>L13*2</f>
        <v/>
      </c>
      <c r="M23" s="68">
        <f>M13*2</f>
        <v/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2026-06-22T15:35:21Z</dcterms:created>
  <dcterms:modified xsi:type="dcterms:W3CDTF">2026-06-22T15:52:44Z</dcterms:modified>
</cp:coreProperties>
</file>