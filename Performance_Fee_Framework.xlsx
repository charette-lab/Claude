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ic" sheetId="1" state="visible" r:id="rId1"/>
    <sheet name="Take by AUM" sheetId="2" state="visible" r:id="rId2"/>
    <sheet name="Take per Per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1F3864"/>
      <sz val="12"/>
    </font>
    <font>
      <sz val="10"/>
    </font>
    <font>
      <b val="1"/>
      <color rgb="00C00000"/>
      <sz val="10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b val="1"/>
      <color rgb="00FFFFFF"/>
      <sz val="9"/>
    </font>
    <font>
      <b val="1"/>
      <color rgb="00FFFFFF"/>
      <sz val="14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165" fontId="8" fillId="8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7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8" fillId="5" borderId="1" pivotButton="0" quotePrefix="0" xfId="0"/>
    <xf numFmtId="0" fontId="8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8" fillId="8" borderId="1" applyAlignment="1" pivotButton="0" quotePrefix="0" xfId="0">
      <alignment horizontal="right" vertical="center"/>
    </xf>
    <xf numFmtId="166" fontId="8" fillId="8" borderId="1" applyAlignment="1" pivotButton="0" quotePrefix="0" xfId="0">
      <alignment horizontal="center" vertical="center" wrapText="1"/>
    </xf>
    <xf numFmtId="0" fontId="4" fillId="3" borderId="1" pivotButton="0" quotePrefix="0" xfId="0"/>
    <xf numFmtId="165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7" borderId="1" applyAlignment="1" pivotButton="0" quotePrefix="0" xfId="0">
      <alignment horizontal="center" vertical="center" wrapText="1"/>
    </xf>
    <xf numFmtId="166" fontId="4" fillId="7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0" fontId="4" fillId="0" borderId="1" applyAlignment="1" pivotButton="0" quotePrefix="0" xfId="0">
      <alignment horizontal="center" vertical="center" wrapText="1"/>
    </xf>
    <xf numFmtId="10" fontId="4" fillId="7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Each role's share of the take as AUM grows $100m → $2bn</a:t>
            </a:r>
          </a:p>
        </rich>
      </tx>
    </title>
    <plotArea>
      <lineChart>
        <grouping val="standard"/>
        <ser>
          <idx val="0"/>
          <order val="0"/>
          <tx>
            <strRef>
              <f>'Take by AUM'!A5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AUM'!$B$5:$U$5</f>
            </numRef>
          </val>
        </ser>
        <ser>
          <idx val="1"/>
          <order val="1"/>
          <tx>
            <strRef>
              <f>'Take by AUM'!A6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AUM'!$B$6:$U$6</f>
            </numRef>
          </val>
        </ser>
        <ser>
          <idx val="2"/>
          <order val="2"/>
          <tx>
            <strRef>
              <f>'Take by AUM'!A7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AUM'!$B$7:$U$7</f>
            </numRef>
          </val>
        </ser>
        <ser>
          <idx val="3"/>
          <order val="3"/>
          <tx>
            <strRef>
              <f>'Take by AUM'!A8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AUM'!$B$8:$U$8</f>
            </numRef>
          </val>
        </ser>
        <ser>
          <idx val="4"/>
          <order val="4"/>
          <tx>
            <strRef>
              <f>'Take by AUM'!A9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AUM'!$B$9:$U$9</f>
            </numRef>
          </val>
        </ser>
        <ser>
          <idx val="5"/>
          <order val="5"/>
          <tx>
            <strRef>
              <f>'Take by AUM'!A10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AUM'!$B$10:$U$10</f>
            </numRef>
          </val>
        </ser>
        <ser>
          <idx val="6"/>
          <order val="6"/>
          <tx>
            <strRef>
              <f>'Take by AUM'!A11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AUM'!$B$11:$U$11</f>
            </numRef>
          </val>
        </ser>
        <ser>
          <idx val="7"/>
          <order val="7"/>
          <tx>
            <strRef>
              <f>'Take by AUM'!A12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AUM'!$B$12:$U$12</f>
            </numRef>
          </val>
        </ser>
        <ser>
          <idx val="8"/>
          <order val="8"/>
          <tx>
            <strRef>
              <f>'Take by AUM'!A13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AUM'!$B$13:$U$13</f>
            </numRef>
          </val>
        </ser>
        <ser>
          <idx val="9"/>
          <order val="9"/>
          <tx>
            <strRef>
              <f>'Take by AUM'!A14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AUM'!$B$14:$U$14</f>
            </numRef>
          </val>
        </ser>
        <ser>
          <idx val="10"/>
          <order val="10"/>
          <tx>
            <strRef>
              <f>'Take by AUM'!A15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AUM'!$B$15:$U$15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(millions)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Per-person share of the take as AUM grows $100m → $2bn</a:t>
            </a:r>
          </a:p>
        </rich>
      </tx>
    </title>
    <plotArea>
      <lineChart>
        <grouping val="standard"/>
        <ser>
          <idx val="0"/>
          <order val="0"/>
          <tx>
            <strRef>
              <f>'Take per Person'!A5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Person'!$B$5:$U$5</f>
            </numRef>
          </val>
        </ser>
        <ser>
          <idx val="1"/>
          <order val="1"/>
          <tx>
            <strRef>
              <f>'Take per Person'!A6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Person'!$B$6:$U$6</f>
            </numRef>
          </val>
        </ser>
        <ser>
          <idx val="2"/>
          <order val="2"/>
          <tx>
            <strRef>
              <f>'Take per Person'!A7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Person'!$B$7:$U$7</f>
            </numRef>
          </val>
        </ser>
        <ser>
          <idx val="3"/>
          <order val="3"/>
          <tx>
            <strRef>
              <f>'Take per Person'!A8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Person'!$B$8:$U$8</f>
            </numRef>
          </val>
        </ser>
        <ser>
          <idx val="4"/>
          <order val="4"/>
          <tx>
            <strRef>
              <f>'Take per Person'!A9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Person'!$B$9:$U$9</f>
            </numRef>
          </val>
        </ser>
        <ser>
          <idx val="5"/>
          <order val="5"/>
          <tx>
            <strRef>
              <f>'Take per Person'!A10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Person'!$B$10:$U$10</f>
            </numRef>
          </val>
        </ser>
        <ser>
          <idx val="6"/>
          <order val="6"/>
          <tx>
            <strRef>
              <f>'Take per Person'!A11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Person'!$B$11:$U$11</f>
            </numRef>
          </val>
        </ser>
        <ser>
          <idx val="7"/>
          <order val="7"/>
          <tx>
            <strRef>
              <f>'Take per Person'!A12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Person'!$B$12:$U$12</f>
            </numRef>
          </val>
        </ser>
        <ser>
          <idx val="8"/>
          <order val="8"/>
          <tx>
            <strRef>
              <f>'Take per Person'!A13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Person'!$B$13:$U$13</f>
            </numRef>
          </val>
        </ser>
        <ser>
          <idx val="9"/>
          <order val="9"/>
          <tx>
            <strRef>
              <f>'Take per Person'!A14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Person'!$B$14:$U$14</f>
            </numRef>
          </val>
        </ser>
        <ser>
          <idx val="10"/>
          <order val="10"/>
          <tx>
            <strRef>
              <f>'Take per Person'!A15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Person'!$B$15:$U$15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(millions)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9"/>
  <sheetViews>
    <sheetView showGridLines="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3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1" t="inlineStr">
        <is>
          <t>Performance Fee Distribution Framework</t>
        </is>
      </c>
    </row>
    <row r="2" ht="16" customHeight="1">
      <c r="A2" s="2" t="inlineStr">
        <is>
          <t>Athanase Industrial Partner — real roles, salaries &amp; performance weights (source: Compensation.xlsx › Static). Amounts in millions.</t>
        </is>
      </c>
    </row>
    <row r="4">
      <c r="A4" s="3" t="inlineStr">
        <is>
          <t>1.  Global assumptions  (edit the gold cells)</t>
        </is>
      </c>
    </row>
    <row r="5">
      <c r="A5" s="4" t="inlineStr">
        <is>
          <t>Performance-fee rate (of profits)</t>
        </is>
      </c>
      <c r="F5" s="5" t="n">
        <v>0.2</v>
      </c>
    </row>
    <row r="6">
      <c r="A6" s="4" t="inlineStr">
        <is>
          <t>Firm take rate — share of perf-fee to the comp pool</t>
        </is>
      </c>
      <c r="F6" s="5" t="n">
        <v>0.6</v>
      </c>
    </row>
    <row r="7">
      <c r="A7" s="4" t="inlineStr">
        <is>
          <t>Assumed gross return on AUM</t>
        </is>
      </c>
      <c r="F7" s="5" t="n">
        <v>0.12</v>
      </c>
    </row>
    <row r="8">
      <c r="A8" s="4" t="inlineStr">
        <is>
          <t>Management fee (of AUM)</t>
        </is>
      </c>
      <c r="F8" s="5" t="n">
        <v>0.015</v>
      </c>
    </row>
    <row r="9">
      <c r="A9" s="4" t="inlineStr">
        <is>
          <t>AUM tier threshold (millions)</t>
        </is>
      </c>
      <c r="F9" s="6" t="n">
        <v>300</v>
      </c>
    </row>
    <row r="10">
      <c r="A10" s="4" t="inlineStr">
        <is>
          <t>Employer cost loading on salary</t>
        </is>
      </c>
      <c r="F10" s="7" t="n">
        <v>1.62</v>
      </c>
    </row>
    <row r="11">
      <c r="A11" s="8" t="inlineStr">
        <is>
          <t>Comp pool = AUM × return × fee rate × take rate.  (The firm retains the other 40% of the performance fee.)</t>
        </is>
      </c>
    </row>
    <row r="13">
      <c r="A13" s="3" t="inlineStr">
        <is>
          <t>2.  AUM scenarios &amp; performance-fee economics  (millions)</t>
        </is>
      </c>
    </row>
    <row r="14">
      <c r="A14" s="9" t="inlineStr">
        <is>
          <t>Metric</t>
        </is>
      </c>
      <c r="H14" s="10" t="inlineStr">
        <is>
          <t>Scenario 1</t>
        </is>
      </c>
      <c r="I14" s="10" t="inlineStr">
        <is>
          <t>Scenario 2</t>
        </is>
      </c>
      <c r="J14" s="10" t="inlineStr">
        <is>
          <t>Scenario 3</t>
        </is>
      </c>
      <c r="K14" s="10" t="inlineStr">
        <is>
          <t>Scenario 4</t>
        </is>
      </c>
      <c r="L14" s="10" t="inlineStr">
        <is>
          <t>Scenario 5</t>
        </is>
      </c>
      <c r="M14" s="10" t="inlineStr">
        <is>
          <t>Scenario 6</t>
        </is>
      </c>
    </row>
    <row r="15">
      <c r="A15" s="11" t="inlineStr">
        <is>
          <t>AUM (millions)</t>
        </is>
      </c>
      <c r="H15" s="6" t="n">
        <v>20</v>
      </c>
      <c r="I15" s="6" t="n">
        <v>300</v>
      </c>
      <c r="J15" s="6" t="n">
        <v>500</v>
      </c>
      <c r="K15" s="6" t="n">
        <v>1000</v>
      </c>
      <c r="L15" s="6" t="n">
        <v>2000</v>
      </c>
      <c r="M15" s="6" t="n">
        <v>5000</v>
      </c>
    </row>
    <row r="16">
      <c r="A16" s="12" t="inlineStr">
        <is>
          <t>Gross profit  (= AUM × return)</t>
        </is>
      </c>
      <c r="H16" s="13">
        <f>H15*$F$7</f>
        <v/>
      </c>
      <c r="I16" s="13">
        <f>I15*$F$7</f>
        <v/>
      </c>
      <c r="J16" s="13">
        <f>J15*$F$7</f>
        <v/>
      </c>
      <c r="K16" s="13">
        <f>K15*$F$7</f>
        <v/>
      </c>
      <c r="L16" s="13">
        <f>L15*$F$7</f>
        <v/>
      </c>
      <c r="M16" s="13">
        <f>M15*$F$7</f>
        <v/>
      </c>
    </row>
    <row r="17">
      <c r="A17" s="12" t="inlineStr">
        <is>
          <t>Performance fee  (= profit × fee rate)</t>
        </is>
      </c>
      <c r="H17" s="13">
        <f>H16*$F$5</f>
        <v/>
      </c>
      <c r="I17" s="13">
        <f>I16*$F$5</f>
        <v/>
      </c>
      <c r="J17" s="13">
        <f>J16*$F$5</f>
        <v/>
      </c>
      <c r="K17" s="13">
        <f>K16*$F$5</f>
        <v/>
      </c>
      <c r="L17" s="13">
        <f>L16*$F$5</f>
        <v/>
      </c>
      <c r="M17" s="13">
        <f>M16*$F$5</f>
        <v/>
      </c>
    </row>
    <row r="18">
      <c r="A18" s="14" t="inlineStr">
        <is>
          <t>Comp pool  (= perf fee × take rate)</t>
        </is>
      </c>
      <c r="H18" s="15">
        <f>H17*$F$6</f>
        <v/>
      </c>
      <c r="I18" s="15">
        <f>I17*$F$6</f>
        <v/>
      </c>
      <c r="J18" s="15">
        <f>J17*$F$6</f>
        <v/>
      </c>
      <c r="K18" s="15">
        <f>K17*$F$6</f>
        <v/>
      </c>
      <c r="L18" s="15">
        <f>L17*$F$6</f>
        <v/>
      </c>
      <c r="M18" s="15">
        <f>M17*$F$6</f>
        <v/>
      </c>
    </row>
    <row r="20" ht="30" customHeight="1">
      <c r="A20" s="3" t="inlineStr">
        <is>
          <t>3.  Organisation, weights &amp; headcount</t>
        </is>
      </c>
      <c r="B20" s="16" t="inlineStr">
        <is>
          <t>Salary
&lt; $300m</t>
        </is>
      </c>
      <c r="C20" s="16" t="inlineStr">
        <is>
          <t>Salary
≥ $300m</t>
        </is>
      </c>
      <c r="D20" s="16" t="inlineStr">
        <is>
          <t>Performance
weight</t>
        </is>
      </c>
      <c r="E20" s="16" t="inlineStr"/>
      <c r="F20" s="16" t="inlineStr"/>
      <c r="G20" s="16" t="inlineStr">
        <is>
          <t>Headcount →</t>
        </is>
      </c>
      <c r="H20" s="16" t="inlineStr">
        <is>
          <t>@ $20m</t>
        </is>
      </c>
      <c r="I20" s="16" t="inlineStr">
        <is>
          <t>@ $300m</t>
        </is>
      </c>
      <c r="J20" s="16" t="inlineStr">
        <is>
          <t>@ $500m</t>
        </is>
      </c>
      <c r="K20" s="16" t="inlineStr">
        <is>
          <t>@ $1,000m</t>
        </is>
      </c>
      <c r="L20" s="16" t="inlineStr">
        <is>
          <t>@ $2,000m</t>
        </is>
      </c>
      <c r="M20" s="16" t="inlineStr">
        <is>
          <t>@ $5,000m</t>
        </is>
      </c>
    </row>
    <row r="21">
      <c r="A21" s="17" t="inlineStr">
        <is>
          <t>CIO</t>
        </is>
      </c>
      <c r="B21" s="18" t="n">
        <v>0.2</v>
      </c>
      <c r="C21" s="18" t="n">
        <v>0.3</v>
      </c>
      <c r="D21" s="19" t="n">
        <v>16</v>
      </c>
      <c r="E21" s="20" t="inlineStr"/>
      <c r="F21" s="20" t="inlineStr"/>
      <c r="G21" s="20" t="inlineStr"/>
      <c r="H21" s="19" t="n">
        <v>1</v>
      </c>
      <c r="I21" s="19" t="n">
        <v>1</v>
      </c>
      <c r="J21" s="19" t="n">
        <v>1</v>
      </c>
      <c r="K21" s="19" t="n">
        <v>1</v>
      </c>
      <c r="L21" s="19" t="n">
        <v>1</v>
      </c>
      <c r="M21" s="19" t="n">
        <v>1</v>
      </c>
    </row>
    <row r="22">
      <c r="A22" s="12" t="inlineStr">
        <is>
          <t>PM</t>
        </is>
      </c>
      <c r="B22" s="18" t="n">
        <v>0.13</v>
      </c>
      <c r="C22" s="18" t="n">
        <v>0.2</v>
      </c>
      <c r="D22" s="19" t="n">
        <v>8</v>
      </c>
      <c r="E22" s="21" t="inlineStr"/>
      <c r="F22" s="21" t="inlineStr"/>
      <c r="G22" s="21" t="inlineStr"/>
      <c r="H22" s="19" t="n">
        <v>2</v>
      </c>
      <c r="I22" s="19" t="n">
        <v>2</v>
      </c>
      <c r="J22" s="19" t="n">
        <v>3</v>
      </c>
      <c r="K22" s="19" t="n">
        <v>3</v>
      </c>
      <c r="L22" s="19" t="n">
        <v>4</v>
      </c>
      <c r="M22" s="19" t="n">
        <v>4</v>
      </c>
    </row>
    <row r="23">
      <c r="A23" s="17" t="inlineStr">
        <is>
          <t>Analyst</t>
        </is>
      </c>
      <c r="B23" s="18" t="n">
        <v>0</v>
      </c>
      <c r="C23" s="18" t="n">
        <v>0.2</v>
      </c>
      <c r="D23" s="19" t="n">
        <v>2.5</v>
      </c>
      <c r="E23" s="20" t="inlineStr"/>
      <c r="F23" s="20" t="inlineStr"/>
      <c r="G23" s="20" t="inlineStr"/>
      <c r="H23" s="19" t="n">
        <v>0</v>
      </c>
      <c r="I23" s="19" t="n">
        <v>2</v>
      </c>
      <c r="J23" s="19" t="n">
        <v>3</v>
      </c>
      <c r="K23" s="19" t="n">
        <v>4</v>
      </c>
      <c r="L23" s="19" t="n">
        <v>8</v>
      </c>
      <c r="M23" s="19" t="n">
        <v>8</v>
      </c>
    </row>
    <row r="24">
      <c r="A24" s="12" t="inlineStr">
        <is>
          <t>CEO</t>
        </is>
      </c>
      <c r="B24" s="18" t="n">
        <v>0.15</v>
      </c>
      <c r="C24" s="18" t="n">
        <v>0.3</v>
      </c>
      <c r="D24" s="19" t="n">
        <v>8</v>
      </c>
      <c r="E24" s="21" t="inlineStr"/>
      <c r="F24" s="21" t="inlineStr"/>
      <c r="G24" s="21" t="inlineStr"/>
      <c r="H24" s="19" t="n">
        <v>1</v>
      </c>
      <c r="I24" s="19" t="n">
        <v>1</v>
      </c>
      <c r="J24" s="19" t="n">
        <v>1</v>
      </c>
      <c r="K24" s="19" t="n">
        <v>1</v>
      </c>
      <c r="L24" s="19" t="n">
        <v>1</v>
      </c>
      <c r="M24" s="19" t="n">
        <v>1</v>
      </c>
    </row>
    <row r="25">
      <c r="A25" s="17" t="inlineStr">
        <is>
          <t>CFO</t>
        </is>
      </c>
      <c r="B25" s="18" t="n">
        <v>0.1</v>
      </c>
      <c r="C25" s="18" t="n">
        <v>0.15</v>
      </c>
      <c r="D25" s="19" t="n">
        <v>3</v>
      </c>
      <c r="E25" s="20" t="inlineStr"/>
      <c r="F25" s="20" t="inlineStr"/>
      <c r="G25" s="20" t="inlineStr"/>
      <c r="H25" s="19" t="n">
        <v>0.2</v>
      </c>
      <c r="I25" s="19" t="n">
        <v>0.2</v>
      </c>
      <c r="J25" s="19" t="n">
        <v>0.2</v>
      </c>
      <c r="K25" s="19" t="n">
        <v>1</v>
      </c>
      <c r="L25" s="19" t="n">
        <v>1</v>
      </c>
      <c r="M25" s="19" t="n">
        <v>1</v>
      </c>
    </row>
    <row r="26">
      <c r="A26" s="12" t="inlineStr">
        <is>
          <t>COO</t>
        </is>
      </c>
      <c r="B26" s="18" t="n">
        <v>0.12</v>
      </c>
      <c r="C26" s="18" t="n">
        <v>0.2</v>
      </c>
      <c r="D26" s="19" t="n">
        <v>3</v>
      </c>
      <c r="E26" s="21" t="inlineStr"/>
      <c r="F26" s="21" t="inlineStr"/>
      <c r="G26" s="21" t="inlineStr"/>
      <c r="H26" s="19" t="n">
        <v>0.5</v>
      </c>
      <c r="I26" s="19" t="n">
        <v>0.5</v>
      </c>
      <c r="J26" s="19" t="n">
        <v>0.5</v>
      </c>
      <c r="K26" s="19" t="n">
        <v>1</v>
      </c>
      <c r="L26" s="19" t="n">
        <v>1</v>
      </c>
      <c r="M26" s="19" t="n">
        <v>1</v>
      </c>
    </row>
    <row r="27">
      <c r="A27" s="17" t="inlineStr">
        <is>
          <t>IR</t>
        </is>
      </c>
      <c r="B27" s="18" t="n">
        <v>0.12</v>
      </c>
      <c r="C27" s="18" t="n">
        <v>0.12</v>
      </c>
      <c r="D27" s="19" t="n">
        <v>1</v>
      </c>
      <c r="E27" s="20" t="inlineStr"/>
      <c r="F27" s="20" t="inlineStr"/>
      <c r="G27" s="20" t="inlineStr"/>
      <c r="H27" s="19" t="n">
        <v>1</v>
      </c>
      <c r="I27" s="19" t="n">
        <v>2</v>
      </c>
      <c r="J27" s="19" t="n">
        <v>2</v>
      </c>
      <c r="K27" s="19" t="n">
        <v>2</v>
      </c>
      <c r="L27" s="19" t="n">
        <v>2</v>
      </c>
      <c r="M27" s="19" t="n">
        <v>2</v>
      </c>
    </row>
    <row r="28">
      <c r="A28" s="12" t="inlineStr">
        <is>
          <t>Support</t>
        </is>
      </c>
      <c r="B28" s="18" t="n">
        <v>0.12</v>
      </c>
      <c r="C28" s="18" t="n">
        <v>0.12</v>
      </c>
      <c r="D28" s="19" t="n">
        <v>1</v>
      </c>
      <c r="E28" s="21" t="inlineStr"/>
      <c r="F28" s="21" t="inlineStr"/>
      <c r="G28" s="21" t="inlineStr"/>
      <c r="H28" s="19" t="n">
        <v>0.5</v>
      </c>
      <c r="I28" s="19" t="n">
        <v>0.5</v>
      </c>
      <c r="J28" s="19" t="n">
        <v>0.5</v>
      </c>
      <c r="K28" s="19" t="n">
        <v>1</v>
      </c>
      <c r="L28" s="19" t="n">
        <v>1</v>
      </c>
      <c r="M28" s="19" t="n">
        <v>1</v>
      </c>
    </row>
    <row r="29">
      <c r="A29" s="17" t="inlineStr">
        <is>
          <t>Execution</t>
        </is>
      </c>
      <c r="B29" s="18" t="n">
        <v>0</v>
      </c>
      <c r="C29" s="18" t="n">
        <v>0.2</v>
      </c>
      <c r="D29" s="19" t="n">
        <v>2</v>
      </c>
      <c r="E29" s="20" t="inlineStr"/>
      <c r="F29" s="20" t="inlineStr"/>
      <c r="G29" s="20" t="inlineStr"/>
      <c r="H29" s="19" t="n">
        <v>0</v>
      </c>
      <c r="I29" s="19" t="n">
        <v>0</v>
      </c>
      <c r="J29" s="19" t="n">
        <v>0</v>
      </c>
      <c r="K29" s="19" t="n">
        <v>1</v>
      </c>
      <c r="L29" s="19" t="n">
        <v>1</v>
      </c>
      <c r="M29" s="19" t="n">
        <v>1</v>
      </c>
    </row>
    <row r="30">
      <c r="A30" s="12" t="inlineStr">
        <is>
          <t>Risk</t>
        </is>
      </c>
      <c r="B30" s="18" t="n">
        <v>0</v>
      </c>
      <c r="C30" s="18" t="n">
        <v>0.2</v>
      </c>
      <c r="D30" s="19" t="n">
        <v>2</v>
      </c>
      <c r="E30" s="21" t="inlineStr"/>
      <c r="F30" s="21" t="inlineStr"/>
      <c r="G30" s="21" t="inlineStr"/>
      <c r="H30" s="19" t="n">
        <v>0</v>
      </c>
      <c r="I30" s="19" t="n">
        <v>0</v>
      </c>
      <c r="J30" s="19" t="n">
        <v>0</v>
      </c>
      <c r="K30" s="19" t="n">
        <v>1</v>
      </c>
      <c r="L30" s="19" t="n">
        <v>1</v>
      </c>
      <c r="M30" s="19" t="n">
        <v>1</v>
      </c>
    </row>
    <row r="31">
      <c r="A31" s="17" t="inlineStr">
        <is>
          <t>Compliance</t>
        </is>
      </c>
      <c r="B31" s="18" t="n">
        <v>0</v>
      </c>
      <c r="C31" s="18" t="n">
        <v>0.2</v>
      </c>
      <c r="D31" s="19" t="n">
        <v>1</v>
      </c>
      <c r="E31" s="20" t="inlineStr"/>
      <c r="F31" s="20" t="inlineStr"/>
      <c r="G31" s="20" t="inlineStr"/>
      <c r="H31" s="19" t="n">
        <v>0</v>
      </c>
      <c r="I31" s="19" t="n">
        <v>0</v>
      </c>
      <c r="J31" s="19" t="n">
        <v>0</v>
      </c>
      <c r="K31" s="19" t="n">
        <v>1</v>
      </c>
      <c r="L31" s="19" t="n">
        <v>1</v>
      </c>
      <c r="M31" s="19" t="n">
        <v>1</v>
      </c>
    </row>
    <row r="32">
      <c r="A32" s="22" t="inlineStr">
        <is>
          <t>Total performance units</t>
        </is>
      </c>
      <c r="B32" s="23" t="inlineStr"/>
      <c r="C32" s="23" t="inlineStr"/>
      <c r="D32" s="23" t="inlineStr"/>
      <c r="E32" s="23" t="inlineStr"/>
      <c r="F32" s="23" t="inlineStr"/>
      <c r="G32" s="24" t="inlineStr">
        <is>
          <t>Σ weight×HC →</t>
        </is>
      </c>
      <c r="H32" s="25">
        <f>SUMPRODUCT($D$21:$D$31,H21:H31)</f>
        <v/>
      </c>
      <c r="I32" s="25">
        <f>SUMPRODUCT($D$21:$D$31,I21:I31)</f>
        <v/>
      </c>
      <c r="J32" s="25">
        <f>SUMPRODUCT($D$21:$D$31,J21:J31)</f>
        <v/>
      </c>
      <c r="K32" s="25">
        <f>SUMPRODUCT($D$21:$D$31,K21:K31)</f>
        <v/>
      </c>
      <c r="L32" s="25">
        <f>SUMPRODUCT($D$21:$D$31,L21:L31)</f>
        <v/>
      </c>
      <c r="M32" s="25">
        <f>SUMPRODUCT($D$21:$D$31,M21:M31)</f>
        <v/>
      </c>
    </row>
    <row r="33">
      <c r="A33" s="14" t="inlineStr">
        <is>
          <t>Value per performance unit (millions)</t>
        </is>
      </c>
      <c r="B33" s="26" t="inlineStr"/>
      <c r="C33" s="26" t="inlineStr"/>
      <c r="D33" s="26" t="inlineStr"/>
      <c r="E33" s="26" t="inlineStr"/>
      <c r="F33" s="26" t="inlineStr"/>
      <c r="G33" s="27" t="inlineStr">
        <is>
          <t>pool ÷ units →</t>
        </is>
      </c>
      <c r="H33" s="28">
        <f>IF(H32=0,0,H18/H32)</f>
        <v/>
      </c>
      <c r="I33" s="28">
        <f>IF(I32=0,0,I18/I32)</f>
        <v/>
      </c>
      <c r="J33" s="28">
        <f>IF(J32=0,0,J18/J32)</f>
        <v/>
      </c>
      <c r="K33" s="28">
        <f>IF(K32=0,0,K18/K32)</f>
        <v/>
      </c>
      <c r="L33" s="28">
        <f>IF(L32=0,0,L18/L32)</f>
        <v/>
      </c>
      <c r="M33" s="28">
        <f>IF(M32=0,0,M18/M32)</f>
        <v/>
      </c>
    </row>
    <row r="34">
      <c r="A34" s="4" t="inlineStr">
        <is>
          <t>Total fixed payroll, loaded (millions)</t>
        </is>
      </c>
      <c r="B34" s="29" t="inlineStr"/>
      <c r="C34" s="29" t="inlineStr"/>
      <c r="D34" s="29" t="inlineStr"/>
      <c r="E34" s="29" t="inlineStr"/>
      <c r="F34" s="29" t="inlineStr"/>
      <c r="G34" s="29" t="inlineStr"/>
      <c r="H34" s="30">
        <f>IF(H15&lt;$F$9,SUMPRODUCT($B$21:$B$31,H21:H31),SUMPRODUCT($C$21:$C$31,H21:H31))*$F$10</f>
        <v/>
      </c>
      <c r="I34" s="30">
        <f>IF(I15&lt;$F$9,SUMPRODUCT($B$21:$B$31,I21:I31),SUMPRODUCT($C$21:$C$31,I21:I31))*$F$10</f>
        <v/>
      </c>
      <c r="J34" s="30">
        <f>IF(J15&lt;$F$9,SUMPRODUCT($B$21:$B$31,J21:J31),SUMPRODUCT($C$21:$C$31,J21:J31))*$F$10</f>
        <v/>
      </c>
      <c r="K34" s="30">
        <f>IF(K15&lt;$F$9,SUMPRODUCT($B$21:$B$31,K21:K31),SUMPRODUCT($C$21:$C$31,K21:K31))*$F$10</f>
        <v/>
      </c>
      <c r="L34" s="30">
        <f>IF(L15&lt;$F$9,SUMPRODUCT($B$21:$B$31,L21:L31),SUMPRODUCT($C$21:$C$31,L21:L31))*$F$10</f>
        <v/>
      </c>
      <c r="M34" s="30">
        <f>IF(M15&lt;$F$9,SUMPRODUCT($B$21:$B$31,M21:M31),SUMPRODUCT($C$21:$C$31,M21:M31))*$F$10</f>
        <v/>
      </c>
    </row>
    <row r="35">
      <c r="A35" s="4" t="inlineStr">
        <is>
          <t>Total headcount</t>
        </is>
      </c>
      <c r="B35" s="29" t="inlineStr"/>
      <c r="C35" s="29" t="inlineStr"/>
      <c r="D35" s="29" t="inlineStr"/>
      <c r="E35" s="29" t="inlineStr"/>
      <c r="F35" s="29" t="inlineStr"/>
      <c r="G35" s="29" t="inlineStr"/>
      <c r="H35" s="31">
        <f>SUM(H21:H31)</f>
        <v/>
      </c>
      <c r="I35" s="31">
        <f>SUM(I21:I31)</f>
        <v/>
      </c>
      <c r="J35" s="31">
        <f>SUM(J21:J31)</f>
        <v/>
      </c>
      <c r="K35" s="31">
        <f>SUM(K21:K31)</f>
        <v/>
      </c>
      <c r="L35" s="31">
        <f>SUM(L21:L31)</f>
        <v/>
      </c>
      <c r="M35" s="31">
        <f>SUM(M21:M31)</f>
        <v/>
      </c>
    </row>
    <row r="37">
      <c r="A37" s="3" t="inlineStr">
        <is>
          <t>4.  Performance payout PER PERSON, by scenario  (millions — absolute, grows with AUM)</t>
        </is>
      </c>
    </row>
    <row r="38">
      <c r="A38" s="32" t="inlineStr">
        <is>
          <t>Role</t>
        </is>
      </c>
      <c r="D38" s="16" t="inlineStr">
        <is>
          <t>Weight</t>
        </is>
      </c>
      <c r="H38" s="16" t="inlineStr">
        <is>
          <t>@ $20m</t>
        </is>
      </c>
      <c r="I38" s="16" t="inlineStr">
        <is>
          <t>@ $300m</t>
        </is>
      </c>
      <c r="J38" s="16" t="inlineStr">
        <is>
          <t>@ $500m</t>
        </is>
      </c>
      <c r="K38" s="16" t="inlineStr">
        <is>
          <t>@ $1,000m</t>
        </is>
      </c>
      <c r="L38" s="16" t="inlineStr">
        <is>
          <t>@ $2,000m</t>
        </is>
      </c>
      <c r="M38" s="16" t="inlineStr">
        <is>
          <t>@ $5,000m</t>
        </is>
      </c>
    </row>
    <row r="39">
      <c r="A39" s="17">
        <f>A21</f>
        <v/>
      </c>
      <c r="D39" s="33">
        <f>D21</f>
        <v/>
      </c>
      <c r="H39" s="34">
        <f>$D21*H$33</f>
        <v/>
      </c>
      <c r="I39" s="34">
        <f>$D21*I$33</f>
        <v/>
      </c>
      <c r="J39" s="34">
        <f>$D21*J$33</f>
        <v/>
      </c>
      <c r="K39" s="34">
        <f>$D21*K$33</f>
        <v/>
      </c>
      <c r="L39" s="34">
        <f>$D21*L$33</f>
        <v/>
      </c>
      <c r="M39" s="34">
        <f>$D21*M$33</f>
        <v/>
      </c>
    </row>
    <row r="40">
      <c r="A40" s="12">
        <f>A22</f>
        <v/>
      </c>
      <c r="D40" s="35">
        <f>D22</f>
        <v/>
      </c>
      <c r="H40" s="36">
        <f>$D22*H$33</f>
        <v/>
      </c>
      <c r="I40" s="36">
        <f>$D22*I$33</f>
        <v/>
      </c>
      <c r="J40" s="36">
        <f>$D22*J$33</f>
        <v/>
      </c>
      <c r="K40" s="36">
        <f>$D22*K$33</f>
        <v/>
      </c>
      <c r="L40" s="36">
        <f>$D22*L$33</f>
        <v/>
      </c>
      <c r="M40" s="36">
        <f>$D22*M$33</f>
        <v/>
      </c>
    </row>
    <row r="41">
      <c r="A41" s="17">
        <f>A23</f>
        <v/>
      </c>
      <c r="D41" s="33">
        <f>D23</f>
        <v/>
      </c>
      <c r="H41" s="34">
        <f>$D23*H$33</f>
        <v/>
      </c>
      <c r="I41" s="34">
        <f>$D23*I$33</f>
        <v/>
      </c>
      <c r="J41" s="34">
        <f>$D23*J$33</f>
        <v/>
      </c>
      <c r="K41" s="34">
        <f>$D23*K$33</f>
        <v/>
      </c>
      <c r="L41" s="34">
        <f>$D23*L$33</f>
        <v/>
      </c>
      <c r="M41" s="34">
        <f>$D23*M$33</f>
        <v/>
      </c>
    </row>
    <row r="42">
      <c r="A42" s="12">
        <f>A24</f>
        <v/>
      </c>
      <c r="D42" s="35">
        <f>D24</f>
        <v/>
      </c>
      <c r="H42" s="36">
        <f>$D24*H$33</f>
        <v/>
      </c>
      <c r="I42" s="36">
        <f>$D24*I$33</f>
        <v/>
      </c>
      <c r="J42" s="36">
        <f>$D24*J$33</f>
        <v/>
      </c>
      <c r="K42" s="36">
        <f>$D24*K$33</f>
        <v/>
      </c>
      <c r="L42" s="36">
        <f>$D24*L$33</f>
        <v/>
      </c>
      <c r="M42" s="36">
        <f>$D24*M$33</f>
        <v/>
      </c>
    </row>
    <row r="43">
      <c r="A43" s="17">
        <f>A25</f>
        <v/>
      </c>
      <c r="D43" s="33">
        <f>D25</f>
        <v/>
      </c>
      <c r="H43" s="34">
        <f>$D25*H$33</f>
        <v/>
      </c>
      <c r="I43" s="34">
        <f>$D25*I$33</f>
        <v/>
      </c>
      <c r="J43" s="34">
        <f>$D25*J$33</f>
        <v/>
      </c>
      <c r="K43" s="34">
        <f>$D25*K$33</f>
        <v/>
      </c>
      <c r="L43" s="34">
        <f>$D25*L$33</f>
        <v/>
      </c>
      <c r="M43" s="34">
        <f>$D25*M$33</f>
        <v/>
      </c>
    </row>
    <row r="44">
      <c r="A44" s="12">
        <f>A26</f>
        <v/>
      </c>
      <c r="D44" s="35">
        <f>D26</f>
        <v/>
      </c>
      <c r="H44" s="36">
        <f>$D26*H$33</f>
        <v/>
      </c>
      <c r="I44" s="36">
        <f>$D26*I$33</f>
        <v/>
      </c>
      <c r="J44" s="36">
        <f>$D26*J$33</f>
        <v/>
      </c>
      <c r="K44" s="36">
        <f>$D26*K$33</f>
        <v/>
      </c>
      <c r="L44" s="36">
        <f>$D26*L$33</f>
        <v/>
      </c>
      <c r="M44" s="36">
        <f>$D26*M$33</f>
        <v/>
      </c>
    </row>
    <row r="45">
      <c r="A45" s="17">
        <f>A27</f>
        <v/>
      </c>
      <c r="D45" s="33">
        <f>D27</f>
        <v/>
      </c>
      <c r="H45" s="34">
        <f>$D27*H$33</f>
        <v/>
      </c>
      <c r="I45" s="34">
        <f>$D27*I$33</f>
        <v/>
      </c>
      <c r="J45" s="34">
        <f>$D27*J$33</f>
        <v/>
      </c>
      <c r="K45" s="34">
        <f>$D27*K$33</f>
        <v/>
      </c>
      <c r="L45" s="34">
        <f>$D27*L$33</f>
        <v/>
      </c>
      <c r="M45" s="34">
        <f>$D27*M$33</f>
        <v/>
      </c>
    </row>
    <row r="46">
      <c r="A46" s="12">
        <f>A28</f>
        <v/>
      </c>
      <c r="D46" s="35">
        <f>D28</f>
        <v/>
      </c>
      <c r="H46" s="36">
        <f>$D28*H$33</f>
        <v/>
      </c>
      <c r="I46" s="36">
        <f>$D28*I$33</f>
        <v/>
      </c>
      <c r="J46" s="36">
        <f>$D28*J$33</f>
        <v/>
      </c>
      <c r="K46" s="36">
        <f>$D28*K$33</f>
        <v/>
      </c>
      <c r="L46" s="36">
        <f>$D28*L$33</f>
        <v/>
      </c>
      <c r="M46" s="36">
        <f>$D28*M$33</f>
        <v/>
      </c>
    </row>
    <row r="47">
      <c r="A47" s="17">
        <f>A29</f>
        <v/>
      </c>
      <c r="D47" s="33">
        <f>D29</f>
        <v/>
      </c>
      <c r="H47" s="34">
        <f>$D29*H$33</f>
        <v/>
      </c>
      <c r="I47" s="34">
        <f>$D29*I$33</f>
        <v/>
      </c>
      <c r="J47" s="34">
        <f>$D29*J$33</f>
        <v/>
      </c>
      <c r="K47" s="34">
        <f>$D29*K$33</f>
        <v/>
      </c>
      <c r="L47" s="34">
        <f>$D29*L$33</f>
        <v/>
      </c>
      <c r="M47" s="34">
        <f>$D29*M$33</f>
        <v/>
      </c>
    </row>
    <row r="48">
      <c r="A48" s="12">
        <f>A30</f>
        <v/>
      </c>
      <c r="D48" s="35">
        <f>D30</f>
        <v/>
      </c>
      <c r="H48" s="36">
        <f>$D30*H$33</f>
        <v/>
      </c>
      <c r="I48" s="36">
        <f>$D30*I$33</f>
        <v/>
      </c>
      <c r="J48" s="36">
        <f>$D30*J$33</f>
        <v/>
      </c>
      <c r="K48" s="36">
        <f>$D30*K$33</f>
        <v/>
      </c>
      <c r="L48" s="36">
        <f>$D30*L$33</f>
        <v/>
      </c>
      <c r="M48" s="36">
        <f>$D30*M$33</f>
        <v/>
      </c>
    </row>
    <row r="49">
      <c r="A49" s="17">
        <f>A31</f>
        <v/>
      </c>
      <c r="D49" s="33">
        <f>D31</f>
        <v/>
      </c>
      <c r="H49" s="34">
        <f>$D31*H$33</f>
        <v/>
      </c>
      <c r="I49" s="34">
        <f>$D31*I$33</f>
        <v/>
      </c>
      <c r="J49" s="34">
        <f>$D31*J$33</f>
        <v/>
      </c>
      <c r="K49" s="34">
        <f>$D31*K$33</f>
        <v/>
      </c>
      <c r="L49" s="34">
        <f>$D31*L$33</f>
        <v/>
      </c>
      <c r="M49" s="34">
        <f>$D31*M$33</f>
        <v/>
      </c>
    </row>
    <row r="52">
      <c r="A52" s="3" t="inlineStr">
        <is>
          <t>5.  Each role's SHARE of the take  (% — falls as the firm grows)</t>
        </is>
      </c>
    </row>
    <row r="53">
      <c r="A53" s="32" t="inlineStr">
        <is>
          <t>Role</t>
        </is>
      </c>
      <c r="D53" s="16" t="inlineStr">
        <is>
          <t>Weight</t>
        </is>
      </c>
      <c r="H53" s="16" t="inlineStr">
        <is>
          <t>@ $20m</t>
        </is>
      </c>
      <c r="I53" s="16" t="inlineStr">
        <is>
          <t>@ $300m</t>
        </is>
      </c>
      <c r="J53" s="16" t="inlineStr">
        <is>
          <t>@ $500m</t>
        </is>
      </c>
      <c r="K53" s="16" t="inlineStr">
        <is>
          <t>@ $1,000m</t>
        </is>
      </c>
      <c r="L53" s="16" t="inlineStr">
        <is>
          <t>@ $2,000m</t>
        </is>
      </c>
      <c r="M53" s="16" t="inlineStr">
        <is>
          <t>@ $5,000m</t>
        </is>
      </c>
    </row>
    <row r="54">
      <c r="A54" s="17">
        <f>A21</f>
        <v/>
      </c>
      <c r="D54" s="33">
        <f>D21</f>
        <v/>
      </c>
      <c r="H54" s="37">
        <f>IF(H$32=0,0,H21*$D21/H$32)</f>
        <v/>
      </c>
      <c r="I54" s="37">
        <f>IF(I$32=0,0,I21*$D21/I$32)</f>
        <v/>
      </c>
      <c r="J54" s="37">
        <f>IF(J$32=0,0,J21*$D21/J$32)</f>
        <v/>
      </c>
      <c r="K54" s="37">
        <f>IF(K$32=0,0,K21*$D21/K$32)</f>
        <v/>
      </c>
      <c r="L54" s="37">
        <f>IF(L$32=0,0,L21*$D21/L$32)</f>
        <v/>
      </c>
      <c r="M54" s="37">
        <f>IF(M$32=0,0,M21*$D21/M$32)</f>
        <v/>
      </c>
    </row>
    <row r="55">
      <c r="A55" s="12">
        <f>A22</f>
        <v/>
      </c>
      <c r="D55" s="35">
        <f>D22</f>
        <v/>
      </c>
      <c r="H55" s="38">
        <f>IF(H$32=0,0,H22*$D22/H$32)</f>
        <v/>
      </c>
      <c r="I55" s="38">
        <f>IF(I$32=0,0,I22*$D22/I$32)</f>
        <v/>
      </c>
      <c r="J55" s="38">
        <f>IF(J$32=0,0,J22*$D22/J$32)</f>
        <v/>
      </c>
      <c r="K55" s="38">
        <f>IF(K$32=0,0,K22*$D22/K$32)</f>
        <v/>
      </c>
      <c r="L55" s="38">
        <f>IF(L$32=0,0,L22*$D22/L$32)</f>
        <v/>
      </c>
      <c r="M55" s="38">
        <f>IF(M$32=0,0,M22*$D22/M$32)</f>
        <v/>
      </c>
    </row>
    <row r="56">
      <c r="A56" s="17">
        <f>A23</f>
        <v/>
      </c>
      <c r="D56" s="33">
        <f>D23</f>
        <v/>
      </c>
      <c r="H56" s="37">
        <f>IF(H$32=0,0,H23*$D23/H$32)</f>
        <v/>
      </c>
      <c r="I56" s="37">
        <f>IF(I$32=0,0,I23*$D23/I$32)</f>
        <v/>
      </c>
      <c r="J56" s="37">
        <f>IF(J$32=0,0,J23*$D23/J$32)</f>
        <v/>
      </c>
      <c r="K56" s="37">
        <f>IF(K$32=0,0,K23*$D23/K$32)</f>
        <v/>
      </c>
      <c r="L56" s="37">
        <f>IF(L$32=0,0,L23*$D23/L$32)</f>
        <v/>
      </c>
      <c r="M56" s="37">
        <f>IF(M$32=0,0,M23*$D23/M$32)</f>
        <v/>
      </c>
    </row>
    <row r="57">
      <c r="A57" s="12">
        <f>A24</f>
        <v/>
      </c>
      <c r="D57" s="35">
        <f>D24</f>
        <v/>
      </c>
      <c r="H57" s="38">
        <f>IF(H$32=0,0,H24*$D24/H$32)</f>
        <v/>
      </c>
      <c r="I57" s="38">
        <f>IF(I$32=0,0,I24*$D24/I$32)</f>
        <v/>
      </c>
      <c r="J57" s="38">
        <f>IF(J$32=0,0,J24*$D24/J$32)</f>
        <v/>
      </c>
      <c r="K57" s="38">
        <f>IF(K$32=0,0,K24*$D24/K$32)</f>
        <v/>
      </c>
      <c r="L57" s="38">
        <f>IF(L$32=0,0,L24*$D24/L$32)</f>
        <v/>
      </c>
      <c r="M57" s="38">
        <f>IF(M$32=0,0,M24*$D24/M$32)</f>
        <v/>
      </c>
    </row>
    <row r="58">
      <c r="A58" s="17">
        <f>A25</f>
        <v/>
      </c>
      <c r="D58" s="33">
        <f>D25</f>
        <v/>
      </c>
      <c r="H58" s="37">
        <f>IF(H$32=0,0,H25*$D25/H$32)</f>
        <v/>
      </c>
      <c r="I58" s="37">
        <f>IF(I$32=0,0,I25*$D25/I$32)</f>
        <v/>
      </c>
      <c r="J58" s="37">
        <f>IF(J$32=0,0,J25*$D25/J$32)</f>
        <v/>
      </c>
      <c r="K58" s="37">
        <f>IF(K$32=0,0,K25*$D25/K$32)</f>
        <v/>
      </c>
      <c r="L58" s="37">
        <f>IF(L$32=0,0,L25*$D25/L$32)</f>
        <v/>
      </c>
      <c r="M58" s="37">
        <f>IF(M$32=0,0,M25*$D25/M$32)</f>
        <v/>
      </c>
    </row>
    <row r="59">
      <c r="A59" s="12">
        <f>A26</f>
        <v/>
      </c>
      <c r="D59" s="35">
        <f>D26</f>
        <v/>
      </c>
      <c r="H59" s="38">
        <f>IF(H$32=0,0,H26*$D26/H$32)</f>
        <v/>
      </c>
      <c r="I59" s="38">
        <f>IF(I$32=0,0,I26*$D26/I$32)</f>
        <v/>
      </c>
      <c r="J59" s="38">
        <f>IF(J$32=0,0,J26*$D26/J$32)</f>
        <v/>
      </c>
      <c r="K59" s="38">
        <f>IF(K$32=0,0,K26*$D26/K$32)</f>
        <v/>
      </c>
      <c r="L59" s="38">
        <f>IF(L$32=0,0,L26*$D26/L$32)</f>
        <v/>
      </c>
      <c r="M59" s="38">
        <f>IF(M$32=0,0,M26*$D26/M$32)</f>
        <v/>
      </c>
    </row>
    <row r="60">
      <c r="A60" s="17">
        <f>A27</f>
        <v/>
      </c>
      <c r="D60" s="33">
        <f>D27</f>
        <v/>
      </c>
      <c r="H60" s="37">
        <f>IF(H$32=0,0,H27*$D27/H$32)</f>
        <v/>
      </c>
      <c r="I60" s="37">
        <f>IF(I$32=0,0,I27*$D27/I$32)</f>
        <v/>
      </c>
      <c r="J60" s="37">
        <f>IF(J$32=0,0,J27*$D27/J$32)</f>
        <v/>
      </c>
      <c r="K60" s="37">
        <f>IF(K$32=0,0,K27*$D27/K$32)</f>
        <v/>
      </c>
      <c r="L60" s="37">
        <f>IF(L$32=0,0,L27*$D27/L$32)</f>
        <v/>
      </c>
      <c r="M60" s="37">
        <f>IF(M$32=0,0,M27*$D27/M$32)</f>
        <v/>
      </c>
    </row>
    <row r="61">
      <c r="A61" s="12">
        <f>A28</f>
        <v/>
      </c>
      <c r="D61" s="35">
        <f>D28</f>
        <v/>
      </c>
      <c r="H61" s="38">
        <f>IF(H$32=0,0,H28*$D28/H$32)</f>
        <v/>
      </c>
      <c r="I61" s="38">
        <f>IF(I$32=0,0,I28*$D28/I$32)</f>
        <v/>
      </c>
      <c r="J61" s="38">
        <f>IF(J$32=0,0,J28*$D28/J$32)</f>
        <v/>
      </c>
      <c r="K61" s="38">
        <f>IF(K$32=0,0,K28*$D28/K$32)</f>
        <v/>
      </c>
      <c r="L61" s="38">
        <f>IF(L$32=0,0,L28*$D28/L$32)</f>
        <v/>
      </c>
      <c r="M61" s="38">
        <f>IF(M$32=0,0,M28*$D28/M$32)</f>
        <v/>
      </c>
    </row>
    <row r="62">
      <c r="A62" s="17">
        <f>A29</f>
        <v/>
      </c>
      <c r="D62" s="33">
        <f>D29</f>
        <v/>
      </c>
      <c r="H62" s="37">
        <f>IF(H$32=0,0,H29*$D29/H$32)</f>
        <v/>
      </c>
      <c r="I62" s="37">
        <f>IF(I$32=0,0,I29*$D29/I$32)</f>
        <v/>
      </c>
      <c r="J62" s="37">
        <f>IF(J$32=0,0,J29*$D29/J$32)</f>
        <v/>
      </c>
      <c r="K62" s="37">
        <f>IF(K$32=0,0,K29*$D29/K$32)</f>
        <v/>
      </c>
      <c r="L62" s="37">
        <f>IF(L$32=0,0,L29*$D29/L$32)</f>
        <v/>
      </c>
      <c r="M62" s="37">
        <f>IF(M$32=0,0,M29*$D29/M$32)</f>
        <v/>
      </c>
    </row>
    <row r="63">
      <c r="A63" s="12">
        <f>A30</f>
        <v/>
      </c>
      <c r="D63" s="35">
        <f>D30</f>
        <v/>
      </c>
      <c r="H63" s="38">
        <f>IF(H$32=0,0,H30*$D30/H$32)</f>
        <v/>
      </c>
      <c r="I63" s="38">
        <f>IF(I$32=0,0,I30*$D30/I$32)</f>
        <v/>
      </c>
      <c r="J63" s="38">
        <f>IF(J$32=0,0,J30*$D30/J$32)</f>
        <v/>
      </c>
      <c r="K63" s="38">
        <f>IF(K$32=0,0,K30*$D30/K$32)</f>
        <v/>
      </c>
      <c r="L63" s="38">
        <f>IF(L$32=0,0,L30*$D30/L$32)</f>
        <v/>
      </c>
      <c r="M63" s="38">
        <f>IF(M$32=0,0,M30*$D30/M$32)</f>
        <v/>
      </c>
    </row>
    <row r="64">
      <c r="A64" s="17">
        <f>A31</f>
        <v/>
      </c>
      <c r="D64" s="33">
        <f>D31</f>
        <v/>
      </c>
      <c r="H64" s="37">
        <f>IF(H$32=0,0,H31*$D31/H$32)</f>
        <v/>
      </c>
      <c r="I64" s="37">
        <f>IF(I$32=0,0,I31*$D31/I$32)</f>
        <v/>
      </c>
      <c r="J64" s="37">
        <f>IF(J$32=0,0,J31*$D31/J$32)</f>
        <v/>
      </c>
      <c r="K64" s="37">
        <f>IF(K$32=0,0,K31*$D31/K$32)</f>
        <v/>
      </c>
      <c r="L64" s="37">
        <f>IF(L$32=0,0,L31*$D31/L$32)</f>
        <v/>
      </c>
      <c r="M64" s="37">
        <f>IF(M$32=0,0,M31*$D31/M$32)</f>
        <v/>
      </c>
    </row>
    <row r="67">
      <c r="A67" s="3" t="inlineStr">
        <is>
          <t>6.  Share of the take PER PERSON  (% — one individual's slice)</t>
        </is>
      </c>
    </row>
    <row r="68">
      <c r="A68" s="32" t="inlineStr">
        <is>
          <t>Role</t>
        </is>
      </c>
      <c r="D68" s="16" t="inlineStr">
        <is>
          <t>Weight</t>
        </is>
      </c>
      <c r="H68" s="16" t="inlineStr">
        <is>
          <t>@ $20m</t>
        </is>
      </c>
      <c r="I68" s="16" t="inlineStr">
        <is>
          <t>@ $300m</t>
        </is>
      </c>
      <c r="J68" s="16" t="inlineStr">
        <is>
          <t>@ $500m</t>
        </is>
      </c>
      <c r="K68" s="16" t="inlineStr">
        <is>
          <t>@ $1,000m</t>
        </is>
      </c>
      <c r="L68" s="16" t="inlineStr">
        <is>
          <t>@ $2,000m</t>
        </is>
      </c>
      <c r="M68" s="16" t="inlineStr">
        <is>
          <t>@ $5,000m</t>
        </is>
      </c>
    </row>
    <row r="69">
      <c r="A69" s="17">
        <f>A21</f>
        <v/>
      </c>
      <c r="D69" s="33">
        <f>D21</f>
        <v/>
      </c>
      <c r="H69" s="39">
        <f>$D21/H$32</f>
        <v/>
      </c>
      <c r="I69" s="39">
        <f>$D21/I$32</f>
        <v/>
      </c>
      <c r="J69" s="39">
        <f>$D21/J$32</f>
        <v/>
      </c>
      <c r="K69" s="39">
        <f>$D21/K$32</f>
        <v/>
      </c>
      <c r="L69" s="39">
        <f>$D21/L$32</f>
        <v/>
      </c>
      <c r="M69" s="39">
        <f>$D21/M$32</f>
        <v/>
      </c>
    </row>
    <row r="70">
      <c r="A70" s="12">
        <f>A22</f>
        <v/>
      </c>
      <c r="D70" s="35">
        <f>D22</f>
        <v/>
      </c>
      <c r="H70" s="40">
        <f>$D22/H$32</f>
        <v/>
      </c>
      <c r="I70" s="40">
        <f>$D22/I$32</f>
        <v/>
      </c>
      <c r="J70" s="40">
        <f>$D22/J$32</f>
        <v/>
      </c>
      <c r="K70" s="40">
        <f>$D22/K$32</f>
        <v/>
      </c>
      <c r="L70" s="40">
        <f>$D22/L$32</f>
        <v/>
      </c>
      <c r="M70" s="40">
        <f>$D22/M$32</f>
        <v/>
      </c>
    </row>
    <row r="71">
      <c r="A71" s="17">
        <f>A23</f>
        <v/>
      </c>
      <c r="D71" s="33">
        <f>D23</f>
        <v/>
      </c>
      <c r="H71" s="39">
        <f>$D23/H$32</f>
        <v/>
      </c>
      <c r="I71" s="39">
        <f>$D23/I$32</f>
        <v/>
      </c>
      <c r="J71" s="39">
        <f>$D23/J$32</f>
        <v/>
      </c>
      <c r="K71" s="39">
        <f>$D23/K$32</f>
        <v/>
      </c>
      <c r="L71" s="39">
        <f>$D23/L$32</f>
        <v/>
      </c>
      <c r="M71" s="39">
        <f>$D23/M$32</f>
        <v/>
      </c>
    </row>
    <row r="72">
      <c r="A72" s="12">
        <f>A24</f>
        <v/>
      </c>
      <c r="D72" s="35">
        <f>D24</f>
        <v/>
      </c>
      <c r="H72" s="40">
        <f>$D24/H$32</f>
        <v/>
      </c>
      <c r="I72" s="40">
        <f>$D24/I$32</f>
        <v/>
      </c>
      <c r="J72" s="40">
        <f>$D24/J$32</f>
        <v/>
      </c>
      <c r="K72" s="40">
        <f>$D24/K$32</f>
        <v/>
      </c>
      <c r="L72" s="40">
        <f>$D24/L$32</f>
        <v/>
      </c>
      <c r="M72" s="40">
        <f>$D24/M$32</f>
        <v/>
      </c>
    </row>
    <row r="73">
      <c r="A73" s="17">
        <f>A25</f>
        <v/>
      </c>
      <c r="D73" s="33">
        <f>D25</f>
        <v/>
      </c>
      <c r="H73" s="39">
        <f>$D25/H$32</f>
        <v/>
      </c>
      <c r="I73" s="39">
        <f>$D25/I$32</f>
        <v/>
      </c>
      <c r="J73" s="39">
        <f>$D25/J$32</f>
        <v/>
      </c>
      <c r="K73" s="39">
        <f>$D25/K$32</f>
        <v/>
      </c>
      <c r="L73" s="39">
        <f>$D25/L$32</f>
        <v/>
      </c>
      <c r="M73" s="39">
        <f>$D25/M$32</f>
        <v/>
      </c>
    </row>
    <row r="74">
      <c r="A74" s="12">
        <f>A26</f>
        <v/>
      </c>
      <c r="D74" s="35">
        <f>D26</f>
        <v/>
      </c>
      <c r="H74" s="40">
        <f>$D26/H$32</f>
        <v/>
      </c>
      <c r="I74" s="40">
        <f>$D26/I$32</f>
        <v/>
      </c>
      <c r="J74" s="40">
        <f>$D26/J$32</f>
        <v/>
      </c>
      <c r="K74" s="40">
        <f>$D26/K$32</f>
        <v/>
      </c>
      <c r="L74" s="40">
        <f>$D26/L$32</f>
        <v/>
      </c>
      <c r="M74" s="40">
        <f>$D26/M$32</f>
        <v/>
      </c>
    </row>
    <row r="75">
      <c r="A75" s="17">
        <f>A27</f>
        <v/>
      </c>
      <c r="D75" s="33">
        <f>D27</f>
        <v/>
      </c>
      <c r="H75" s="39">
        <f>$D27/H$32</f>
        <v/>
      </c>
      <c r="I75" s="39">
        <f>$D27/I$32</f>
        <v/>
      </c>
      <c r="J75" s="39">
        <f>$D27/J$32</f>
        <v/>
      </c>
      <c r="K75" s="39">
        <f>$D27/K$32</f>
        <v/>
      </c>
      <c r="L75" s="39">
        <f>$D27/L$32</f>
        <v/>
      </c>
      <c r="M75" s="39">
        <f>$D27/M$32</f>
        <v/>
      </c>
    </row>
    <row r="76">
      <c r="A76" s="12">
        <f>A28</f>
        <v/>
      </c>
      <c r="D76" s="35">
        <f>D28</f>
        <v/>
      </c>
      <c r="H76" s="40">
        <f>$D28/H$32</f>
        <v/>
      </c>
      <c r="I76" s="40">
        <f>$D28/I$32</f>
        <v/>
      </c>
      <c r="J76" s="40">
        <f>$D28/J$32</f>
        <v/>
      </c>
      <c r="K76" s="40">
        <f>$D28/K$32</f>
        <v/>
      </c>
      <c r="L76" s="40">
        <f>$D28/L$32</f>
        <v/>
      </c>
      <c r="M76" s="40">
        <f>$D28/M$32</f>
        <v/>
      </c>
    </row>
    <row r="77">
      <c r="A77" s="17">
        <f>A29</f>
        <v/>
      </c>
      <c r="D77" s="33">
        <f>D29</f>
        <v/>
      </c>
      <c r="H77" s="39">
        <f>$D29/H$32</f>
        <v/>
      </c>
      <c r="I77" s="39">
        <f>$D29/I$32</f>
        <v/>
      </c>
      <c r="J77" s="39">
        <f>$D29/J$32</f>
        <v/>
      </c>
      <c r="K77" s="39">
        <f>$D29/K$32</f>
        <v/>
      </c>
      <c r="L77" s="39">
        <f>$D29/L$32</f>
        <v/>
      </c>
      <c r="M77" s="39">
        <f>$D29/M$32</f>
        <v/>
      </c>
    </row>
    <row r="78">
      <c r="A78" s="12">
        <f>A30</f>
        <v/>
      </c>
      <c r="D78" s="35">
        <f>D30</f>
        <v/>
      </c>
      <c r="H78" s="40">
        <f>$D30/H$32</f>
        <v/>
      </c>
      <c r="I78" s="40">
        <f>$D30/I$32</f>
        <v/>
      </c>
      <c r="J78" s="40">
        <f>$D30/J$32</f>
        <v/>
      </c>
      <c r="K78" s="40">
        <f>$D30/K$32</f>
        <v/>
      </c>
      <c r="L78" s="40">
        <f>$D30/L$32</f>
        <v/>
      </c>
      <c r="M78" s="40">
        <f>$D30/M$32</f>
        <v/>
      </c>
    </row>
    <row r="79">
      <c r="A79" s="17">
        <f>A31</f>
        <v/>
      </c>
      <c r="D79" s="33">
        <f>D31</f>
        <v/>
      </c>
      <c r="H79" s="39">
        <f>$D31/H$32</f>
        <v/>
      </c>
      <c r="I79" s="39">
        <f>$D31/I$32</f>
        <v/>
      </c>
      <c r="J79" s="39">
        <f>$D31/J$32</f>
        <v/>
      </c>
      <c r="K79" s="39">
        <f>$D31/K$32</f>
        <v/>
      </c>
      <c r="L79" s="39">
        <f>$D31/L$32</f>
        <v/>
      </c>
      <c r="M79" s="39">
        <f>$D31/M$32</f>
        <v/>
      </c>
    </row>
  </sheetData>
  <mergeCells count="8">
    <mergeCell ref="A1:M1"/>
    <mergeCell ref="A7:E7"/>
    <mergeCell ref="A10:E10"/>
    <mergeCell ref="A5:E5"/>
    <mergeCell ref="A8:E8"/>
    <mergeCell ref="A6:E6"/>
    <mergeCell ref="A2:M2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41" t="inlineStr">
        <is>
          <t>Each role's share of the take as AUM grows $100m → $2bn</t>
        </is>
      </c>
    </row>
    <row r="2">
      <c r="A2" s="2" t="inlineStr">
        <is>
          <t>Share = role weight × headcount ÷ total weighted units. Real weights from Compensation.xlsx. Columns sum to 100%.</t>
        </is>
      </c>
    </row>
    <row r="4">
      <c r="A4" s="32" t="inlineStr">
        <is>
          <t>AUM (millions) →</t>
        </is>
      </c>
      <c r="B4" s="42" t="n">
        <v>100</v>
      </c>
      <c r="C4" s="42" t="n">
        <v>200</v>
      </c>
      <c r="D4" s="42" t="n">
        <v>300</v>
      </c>
      <c r="E4" s="42" t="n">
        <v>400</v>
      </c>
      <c r="F4" s="42" t="n">
        <v>500</v>
      </c>
      <c r="G4" s="42" t="n">
        <v>600</v>
      </c>
      <c r="H4" s="42" t="n">
        <v>700</v>
      </c>
      <c r="I4" s="42" t="n">
        <v>800</v>
      </c>
      <c r="J4" s="42" t="n">
        <v>900</v>
      </c>
      <c r="K4" s="42" t="n">
        <v>1000</v>
      </c>
      <c r="L4" s="42" t="n">
        <v>1100</v>
      </c>
      <c r="M4" s="42" t="n">
        <v>1200</v>
      </c>
      <c r="N4" s="42" t="n">
        <v>1300</v>
      </c>
      <c r="O4" s="42" t="n">
        <v>1400</v>
      </c>
      <c r="P4" s="42" t="n">
        <v>1500</v>
      </c>
      <c r="Q4" s="42" t="n">
        <v>1600</v>
      </c>
      <c r="R4" s="42" t="n">
        <v>1700</v>
      </c>
      <c r="S4" s="42" t="n">
        <v>1800</v>
      </c>
      <c r="T4" s="42" t="n">
        <v>1900</v>
      </c>
      <c r="U4" s="42" t="n">
        <v>2000</v>
      </c>
    </row>
    <row r="5">
      <c r="A5" s="17" t="inlineStr">
        <is>
          <t>CIO  (wt 16)</t>
        </is>
      </c>
      <c r="B5" s="37" t="n">
        <v>0.3530895334174022</v>
      </c>
      <c r="C5" s="37" t="n">
        <v>0.3371462974111981</v>
      </c>
      <c r="D5" s="37" t="n">
        <v>0.3225806451612903</v>
      </c>
      <c r="E5" s="37" t="n">
        <v>0.2917046490428441</v>
      </c>
      <c r="F5" s="37" t="n">
        <v>0.2662229617304492</v>
      </c>
      <c r="G5" s="37" t="n">
        <v>0.2560819462227913</v>
      </c>
      <c r="H5" s="37" t="n">
        <v>0.2466851680542707</v>
      </c>
      <c r="I5" s="37" t="n">
        <v>0.2379535990481856</v>
      </c>
      <c r="J5" s="37" t="n">
        <v>0.2298190175237001</v>
      </c>
      <c r="K5" s="37" t="n">
        <v>0.2222222222222222</v>
      </c>
      <c r="L5" s="37" t="n">
        <v>0.2168021680216802</v>
      </c>
      <c r="M5" s="37" t="n">
        <v>0.2116402116402117</v>
      </c>
      <c r="N5" s="37" t="n">
        <v>0.20671834625323</v>
      </c>
      <c r="O5" s="37" t="n">
        <v>0.202020202020202</v>
      </c>
      <c r="P5" s="37" t="n">
        <v>0.1975308641975309</v>
      </c>
      <c r="Q5" s="37" t="n">
        <v>0.1932367149758454</v>
      </c>
      <c r="R5" s="37" t="n">
        <v>0.1891252955082743</v>
      </c>
      <c r="S5" s="37" t="n">
        <v>0.1851851851851852</v>
      </c>
      <c r="T5" s="37" t="n">
        <v>0.18140589569161</v>
      </c>
      <c r="U5" s="37" t="n">
        <v>0.1777777777777778</v>
      </c>
    </row>
    <row r="6">
      <c r="A6" s="12" t="inlineStr">
        <is>
          <t>PM  (wt 8)</t>
        </is>
      </c>
      <c r="B6" s="38" t="n">
        <v>0.3530895334174022</v>
      </c>
      <c r="C6" s="38" t="n">
        <v>0.3371462974111981</v>
      </c>
      <c r="D6" s="38" t="n">
        <v>0.3225806451612903</v>
      </c>
      <c r="E6" s="38" t="n">
        <v>0.3646308113035551</v>
      </c>
      <c r="F6" s="38" t="n">
        <v>0.3993344425956739</v>
      </c>
      <c r="G6" s="38" t="n">
        <v>0.384122919334187</v>
      </c>
      <c r="H6" s="38" t="n">
        <v>0.370027752081406</v>
      </c>
      <c r="I6" s="38" t="n">
        <v>0.3569303985722784</v>
      </c>
      <c r="J6" s="38" t="n">
        <v>0.3447285262855502</v>
      </c>
      <c r="K6" s="38" t="n">
        <v>0.3333333333333333</v>
      </c>
      <c r="L6" s="38" t="n">
        <v>0.3360433604336043</v>
      </c>
      <c r="M6" s="38" t="n">
        <v>0.3386243386243387</v>
      </c>
      <c r="N6" s="38" t="n">
        <v>0.3410852713178294</v>
      </c>
      <c r="O6" s="38" t="n">
        <v>0.3434343434343434</v>
      </c>
      <c r="P6" s="38" t="n">
        <v>0.345679012345679</v>
      </c>
      <c r="Q6" s="38" t="n">
        <v>0.3478260869565218</v>
      </c>
      <c r="R6" s="38" t="n">
        <v>0.3498817966903074</v>
      </c>
      <c r="S6" s="38" t="n">
        <v>0.3518518518518518</v>
      </c>
      <c r="T6" s="38" t="n">
        <v>0.3537414965986395</v>
      </c>
      <c r="U6" s="38" t="n">
        <v>0.3555555555555556</v>
      </c>
    </row>
    <row r="7">
      <c r="A7" s="17" t="inlineStr">
        <is>
          <t>Analyst  (wt 2.5)</t>
        </is>
      </c>
      <c r="B7" s="37" t="n">
        <v>0.03152585119798234</v>
      </c>
      <c r="C7" s="37" t="n">
        <v>0.06773028296207104</v>
      </c>
      <c r="D7" s="37" t="n">
        <v>0.1008064516129032</v>
      </c>
      <c r="E7" s="37" t="n">
        <v>0.113947128532361</v>
      </c>
      <c r="F7" s="37" t="n">
        <v>0.1247920133111481</v>
      </c>
      <c r="G7" s="37" t="n">
        <v>0.1280409731113956</v>
      </c>
      <c r="H7" s="37" t="n">
        <v>0.1310514955288313</v>
      </c>
      <c r="I7" s="37" t="n">
        <v>0.1338488994646044</v>
      </c>
      <c r="J7" s="37" t="n">
        <v>0.1364550416546969</v>
      </c>
      <c r="K7" s="37" t="n">
        <v>0.1388888888888889</v>
      </c>
      <c r="L7" s="37" t="n">
        <v>0.1490514905149052</v>
      </c>
      <c r="M7" s="37" t="n">
        <v>0.1587301587301587</v>
      </c>
      <c r="N7" s="37" t="n">
        <v>0.1679586563307493</v>
      </c>
      <c r="O7" s="37" t="n">
        <v>0.1767676767676768</v>
      </c>
      <c r="P7" s="37" t="n">
        <v>0.1851851851851852</v>
      </c>
      <c r="Q7" s="37" t="n">
        <v>0.1932367149758454</v>
      </c>
      <c r="R7" s="37" t="n">
        <v>0.2009456264775414</v>
      </c>
      <c r="S7" s="37" t="n">
        <v>0.2083333333333333</v>
      </c>
      <c r="T7" s="37" t="n">
        <v>0.2154195011337868</v>
      </c>
      <c r="U7" s="37" t="n">
        <v>0.2222222222222222</v>
      </c>
    </row>
    <row r="8">
      <c r="A8" s="12" t="inlineStr">
        <is>
          <t>CEO  (wt 8)</t>
        </is>
      </c>
      <c r="B8" s="38" t="n">
        <v>0.1765447667087011</v>
      </c>
      <c r="C8" s="38" t="n">
        <v>0.168573148705599</v>
      </c>
      <c r="D8" s="38" t="n">
        <v>0.1612903225806452</v>
      </c>
      <c r="E8" s="38" t="n">
        <v>0.145852324521422</v>
      </c>
      <c r="F8" s="38" t="n">
        <v>0.1331114808652246</v>
      </c>
      <c r="G8" s="38" t="n">
        <v>0.1280409731113956</v>
      </c>
      <c r="H8" s="38" t="n">
        <v>0.1233425840271353</v>
      </c>
      <c r="I8" s="38" t="n">
        <v>0.1189767995240928</v>
      </c>
      <c r="J8" s="38" t="n">
        <v>0.1149095087618501</v>
      </c>
      <c r="K8" s="38" t="n">
        <v>0.1111111111111111</v>
      </c>
      <c r="L8" s="38" t="n">
        <v>0.1084010840108401</v>
      </c>
      <c r="M8" s="38" t="n">
        <v>0.1058201058201058</v>
      </c>
      <c r="N8" s="38" t="n">
        <v>0.103359173126615</v>
      </c>
      <c r="O8" s="38" t="n">
        <v>0.101010101010101</v>
      </c>
      <c r="P8" s="38" t="n">
        <v>0.09876543209876543</v>
      </c>
      <c r="Q8" s="38" t="n">
        <v>0.0966183574879227</v>
      </c>
      <c r="R8" s="38" t="n">
        <v>0.09456264775413713</v>
      </c>
      <c r="S8" s="38" t="n">
        <v>0.09259259259259259</v>
      </c>
      <c r="T8" s="38" t="n">
        <v>0.09070294784580499</v>
      </c>
      <c r="U8" s="38" t="n">
        <v>0.08888888888888889</v>
      </c>
    </row>
    <row r="9">
      <c r="A9" s="17" t="inlineStr">
        <is>
          <t>CFO  (wt 3)</t>
        </is>
      </c>
      <c r="B9" s="37" t="n">
        <v>0.01324085750315259</v>
      </c>
      <c r="C9" s="37" t="n">
        <v>0.01264298615291993</v>
      </c>
      <c r="D9" s="37" t="n">
        <v>0.01209677419354839</v>
      </c>
      <c r="E9" s="37" t="n">
        <v>0.01093892433910666</v>
      </c>
      <c r="F9" s="37" t="n">
        <v>0.009983361064891848</v>
      </c>
      <c r="G9" s="37" t="n">
        <v>0.01728553137003841</v>
      </c>
      <c r="H9" s="37" t="n">
        <v>0.02405180388529139</v>
      </c>
      <c r="I9" s="37" t="n">
        <v>0.03033908387864367</v>
      </c>
      <c r="J9" s="37" t="n">
        <v>0.03619649525998277</v>
      </c>
      <c r="K9" s="37" t="n">
        <v>0.04166666666666666</v>
      </c>
      <c r="L9" s="37" t="n">
        <v>0.04065040650406504</v>
      </c>
      <c r="M9" s="37" t="n">
        <v>0.03968253968253969</v>
      </c>
      <c r="N9" s="37" t="n">
        <v>0.03875968992248062</v>
      </c>
      <c r="O9" s="37" t="n">
        <v>0.03787878787878788</v>
      </c>
      <c r="P9" s="37" t="n">
        <v>0.03703703703703703</v>
      </c>
      <c r="Q9" s="37" t="n">
        <v>0.03623188405797102</v>
      </c>
      <c r="R9" s="37" t="n">
        <v>0.03546099290780142</v>
      </c>
      <c r="S9" s="37" t="n">
        <v>0.03472222222222222</v>
      </c>
      <c r="T9" s="37" t="n">
        <v>0.03401360544217687</v>
      </c>
      <c r="U9" s="37" t="n">
        <v>0.03333333333333333</v>
      </c>
    </row>
    <row r="10">
      <c r="A10" s="12" t="inlineStr">
        <is>
          <t>COO  (wt 3)</t>
        </is>
      </c>
      <c r="B10" s="38" t="n">
        <v>0.03310214375788146</v>
      </c>
      <c r="C10" s="38" t="n">
        <v>0.03160746538229982</v>
      </c>
      <c r="D10" s="38" t="n">
        <v>0.03024193548387097</v>
      </c>
      <c r="E10" s="38" t="n">
        <v>0.02734731084776663</v>
      </c>
      <c r="F10" s="38" t="n">
        <v>0.02495840266222962</v>
      </c>
      <c r="G10" s="38" t="n">
        <v>0.02880921895006402</v>
      </c>
      <c r="H10" s="38" t="n">
        <v>0.03237742830712302</v>
      </c>
      <c r="I10" s="38" t="n">
        <v>0.03569303985722785</v>
      </c>
      <c r="J10" s="38" t="n">
        <v>0.0387819592071244</v>
      </c>
      <c r="K10" s="38" t="n">
        <v>0.04166666666666666</v>
      </c>
      <c r="L10" s="38" t="n">
        <v>0.04065040650406504</v>
      </c>
      <c r="M10" s="38" t="n">
        <v>0.03968253968253969</v>
      </c>
      <c r="N10" s="38" t="n">
        <v>0.03875968992248062</v>
      </c>
      <c r="O10" s="38" t="n">
        <v>0.03787878787878788</v>
      </c>
      <c r="P10" s="38" t="n">
        <v>0.03703703703703703</v>
      </c>
      <c r="Q10" s="38" t="n">
        <v>0.03623188405797102</v>
      </c>
      <c r="R10" s="38" t="n">
        <v>0.03546099290780142</v>
      </c>
      <c r="S10" s="38" t="n">
        <v>0.03472222222222222</v>
      </c>
      <c r="T10" s="38" t="n">
        <v>0.03401360544217687</v>
      </c>
      <c r="U10" s="38" t="n">
        <v>0.03333333333333333</v>
      </c>
    </row>
    <row r="11">
      <c r="A11" s="17" t="inlineStr">
        <is>
          <t>IR  (wt 1)</t>
        </is>
      </c>
      <c r="B11" s="37" t="n">
        <v>0.02837326607818411</v>
      </c>
      <c r="C11" s="37" t="n">
        <v>0.03461770018061408</v>
      </c>
      <c r="D11" s="37" t="n">
        <v>0.04032258064516129</v>
      </c>
      <c r="E11" s="37" t="n">
        <v>0.03646308113035551</v>
      </c>
      <c r="F11" s="37" t="n">
        <v>0.03327787021630615</v>
      </c>
      <c r="G11" s="37" t="n">
        <v>0.03201024327784891</v>
      </c>
      <c r="H11" s="37" t="n">
        <v>0.03083564600678384</v>
      </c>
      <c r="I11" s="37" t="n">
        <v>0.0297441998810232</v>
      </c>
      <c r="J11" s="37" t="n">
        <v>0.02872737719046252</v>
      </c>
      <c r="K11" s="37" t="n">
        <v>0.02777777777777778</v>
      </c>
      <c r="L11" s="37" t="n">
        <v>0.02710027100271003</v>
      </c>
      <c r="M11" s="37" t="n">
        <v>0.02645502645502646</v>
      </c>
      <c r="N11" s="37" t="n">
        <v>0.02583979328165375</v>
      </c>
      <c r="O11" s="37" t="n">
        <v>0.02525252525252525</v>
      </c>
      <c r="P11" s="37" t="n">
        <v>0.02469135802469136</v>
      </c>
      <c r="Q11" s="37" t="n">
        <v>0.02415458937198068</v>
      </c>
      <c r="R11" s="37" t="n">
        <v>0.02364066193853428</v>
      </c>
      <c r="S11" s="37" t="n">
        <v>0.02314814814814815</v>
      </c>
      <c r="T11" s="37" t="n">
        <v>0.02267573696145125</v>
      </c>
      <c r="U11" s="37" t="n">
        <v>0.02222222222222222</v>
      </c>
    </row>
    <row r="12">
      <c r="A12" s="12" t="inlineStr">
        <is>
          <t>Support  (wt 1)</t>
        </is>
      </c>
      <c r="B12" s="38" t="n">
        <v>0.01103404791929382</v>
      </c>
      <c r="C12" s="38" t="n">
        <v>0.01053582179409994</v>
      </c>
      <c r="D12" s="38" t="n">
        <v>0.01008064516129032</v>
      </c>
      <c r="E12" s="38" t="n">
        <v>0.009115770282588878</v>
      </c>
      <c r="F12" s="38" t="n">
        <v>0.008319467554076539</v>
      </c>
      <c r="G12" s="38" t="n">
        <v>0.009603072983354674</v>
      </c>
      <c r="H12" s="38" t="n">
        <v>0.01079247610237434</v>
      </c>
      <c r="I12" s="38" t="n">
        <v>0.01189767995240928</v>
      </c>
      <c r="J12" s="38" t="n">
        <v>0.01292731973570813</v>
      </c>
      <c r="K12" s="38" t="n">
        <v>0.01388888888888889</v>
      </c>
      <c r="L12" s="38" t="n">
        <v>0.01355013550135501</v>
      </c>
      <c r="M12" s="38" t="n">
        <v>0.01322751322751323</v>
      </c>
      <c r="N12" s="38" t="n">
        <v>0.01291989664082687</v>
      </c>
      <c r="O12" s="38" t="n">
        <v>0.01262626262626263</v>
      </c>
      <c r="P12" s="38" t="n">
        <v>0.01234567901234568</v>
      </c>
      <c r="Q12" s="38" t="n">
        <v>0.01207729468599034</v>
      </c>
      <c r="R12" s="38" t="n">
        <v>0.01182033096926714</v>
      </c>
      <c r="S12" s="38" t="n">
        <v>0.01157407407407407</v>
      </c>
      <c r="T12" s="38" t="n">
        <v>0.01133786848072562</v>
      </c>
      <c r="U12" s="38" t="n">
        <v>0.01111111111111111</v>
      </c>
    </row>
    <row r="13">
      <c r="A13" s="17" t="inlineStr">
        <is>
          <t>Execution  (wt 2)</t>
        </is>
      </c>
      <c r="B13" s="37" t="n">
        <v>0</v>
      </c>
      <c r="C13" s="37" t="n">
        <v>0</v>
      </c>
      <c r="D13" s="37" t="n">
        <v>0</v>
      </c>
      <c r="E13" s="37" t="n">
        <v>0</v>
      </c>
      <c r="F13" s="37" t="n">
        <v>0</v>
      </c>
      <c r="G13" s="37" t="n">
        <v>0.006402048655569783</v>
      </c>
      <c r="H13" s="37" t="n">
        <v>0.01233425840271354</v>
      </c>
      <c r="I13" s="37" t="n">
        <v>0.01784651992861392</v>
      </c>
      <c r="J13" s="37" t="n">
        <v>0.02298190175237001</v>
      </c>
      <c r="K13" s="37" t="n">
        <v>0.02777777777777778</v>
      </c>
      <c r="L13" s="37" t="n">
        <v>0.02710027100271003</v>
      </c>
      <c r="M13" s="37" t="n">
        <v>0.02645502645502646</v>
      </c>
      <c r="N13" s="37" t="n">
        <v>0.02583979328165375</v>
      </c>
      <c r="O13" s="37" t="n">
        <v>0.02525252525252525</v>
      </c>
      <c r="P13" s="37" t="n">
        <v>0.02469135802469136</v>
      </c>
      <c r="Q13" s="37" t="n">
        <v>0.02415458937198068</v>
      </c>
      <c r="R13" s="37" t="n">
        <v>0.02364066193853428</v>
      </c>
      <c r="S13" s="37" t="n">
        <v>0.02314814814814815</v>
      </c>
      <c r="T13" s="37" t="n">
        <v>0.02267573696145125</v>
      </c>
      <c r="U13" s="37" t="n">
        <v>0.02222222222222222</v>
      </c>
    </row>
    <row r="14">
      <c r="A14" s="12" t="inlineStr">
        <is>
          <t>Risk  (wt 2)</t>
        </is>
      </c>
      <c r="B14" s="38" t="n">
        <v>0</v>
      </c>
      <c r="C14" s="38" t="n">
        <v>0</v>
      </c>
      <c r="D14" s="38" t="n">
        <v>0</v>
      </c>
      <c r="E14" s="38" t="n">
        <v>0</v>
      </c>
      <c r="F14" s="38" t="n">
        <v>0</v>
      </c>
      <c r="G14" s="38" t="n">
        <v>0.006402048655569783</v>
      </c>
      <c r="H14" s="38" t="n">
        <v>0.01233425840271354</v>
      </c>
      <c r="I14" s="38" t="n">
        <v>0.01784651992861392</v>
      </c>
      <c r="J14" s="38" t="n">
        <v>0.02298190175237001</v>
      </c>
      <c r="K14" s="38" t="n">
        <v>0.02777777777777778</v>
      </c>
      <c r="L14" s="38" t="n">
        <v>0.02710027100271003</v>
      </c>
      <c r="M14" s="38" t="n">
        <v>0.02645502645502646</v>
      </c>
      <c r="N14" s="38" t="n">
        <v>0.02583979328165375</v>
      </c>
      <c r="O14" s="38" t="n">
        <v>0.02525252525252525</v>
      </c>
      <c r="P14" s="38" t="n">
        <v>0.02469135802469136</v>
      </c>
      <c r="Q14" s="38" t="n">
        <v>0.02415458937198068</v>
      </c>
      <c r="R14" s="38" t="n">
        <v>0.02364066193853428</v>
      </c>
      <c r="S14" s="38" t="n">
        <v>0.02314814814814815</v>
      </c>
      <c r="T14" s="38" t="n">
        <v>0.02267573696145125</v>
      </c>
      <c r="U14" s="38" t="n">
        <v>0.02222222222222222</v>
      </c>
    </row>
    <row r="15">
      <c r="A15" s="17" t="inlineStr">
        <is>
          <t>Compliance  (wt 1)</t>
        </is>
      </c>
      <c r="B15" s="37" t="n">
        <v>0</v>
      </c>
      <c r="C15" s="37" t="n">
        <v>0</v>
      </c>
      <c r="D15" s="37" t="n">
        <v>0</v>
      </c>
      <c r="E15" s="37" t="n">
        <v>0</v>
      </c>
      <c r="F15" s="37" t="n">
        <v>0</v>
      </c>
      <c r="G15" s="37" t="n">
        <v>0.003201024327784891</v>
      </c>
      <c r="H15" s="37" t="n">
        <v>0.006167129201356768</v>
      </c>
      <c r="I15" s="37" t="n">
        <v>0.00892325996430696</v>
      </c>
      <c r="J15" s="37" t="n">
        <v>0.01149095087618501</v>
      </c>
      <c r="K15" s="37" t="n">
        <v>0.01388888888888889</v>
      </c>
      <c r="L15" s="37" t="n">
        <v>0.01355013550135501</v>
      </c>
      <c r="M15" s="37" t="n">
        <v>0.01322751322751323</v>
      </c>
      <c r="N15" s="37" t="n">
        <v>0.01291989664082687</v>
      </c>
      <c r="O15" s="37" t="n">
        <v>0.01262626262626263</v>
      </c>
      <c r="P15" s="37" t="n">
        <v>0.01234567901234568</v>
      </c>
      <c r="Q15" s="37" t="n">
        <v>0.01207729468599034</v>
      </c>
      <c r="R15" s="37" t="n">
        <v>0.01182033096926714</v>
      </c>
      <c r="S15" s="37" t="n">
        <v>0.01157407407407407</v>
      </c>
      <c r="T15" s="37" t="n">
        <v>0.01133786848072562</v>
      </c>
      <c r="U15" s="37" t="n">
        <v>0.01111111111111111</v>
      </c>
    </row>
    <row r="16">
      <c r="A16" s="32" t="inlineStr">
        <is>
          <t>Total (check)</t>
        </is>
      </c>
      <c r="B16" s="43">
        <f>SUM(B5:B15)</f>
        <v/>
      </c>
      <c r="C16" s="43">
        <f>SUM(C5:C15)</f>
        <v/>
      </c>
      <c r="D16" s="43">
        <f>SUM(D5:D15)</f>
        <v/>
      </c>
      <c r="E16" s="43">
        <f>SUM(E5:E15)</f>
        <v/>
      </c>
      <c r="F16" s="43">
        <f>SUM(F5:F15)</f>
        <v/>
      </c>
      <c r="G16" s="43">
        <f>SUM(G5:G15)</f>
        <v/>
      </c>
      <c r="H16" s="43">
        <f>SUM(H5:H15)</f>
        <v/>
      </c>
      <c r="I16" s="43">
        <f>SUM(I5:I15)</f>
        <v/>
      </c>
      <c r="J16" s="43">
        <f>SUM(J5:J15)</f>
        <v/>
      </c>
      <c r="K16" s="43">
        <f>SUM(K5:K15)</f>
        <v/>
      </c>
      <c r="L16" s="43">
        <f>SUM(L5:L15)</f>
        <v/>
      </c>
      <c r="M16" s="43">
        <f>SUM(M5:M15)</f>
        <v/>
      </c>
      <c r="N16" s="43">
        <f>SUM(N5:N15)</f>
        <v/>
      </c>
      <c r="O16" s="43">
        <f>SUM(O5:O15)</f>
        <v/>
      </c>
      <c r="P16" s="43">
        <f>SUM(P5:P15)</f>
        <v/>
      </c>
      <c r="Q16" s="43">
        <f>SUM(Q5:Q15)</f>
        <v/>
      </c>
      <c r="R16" s="43">
        <f>SUM(R5:R15)</f>
        <v/>
      </c>
      <c r="S16" s="43">
        <f>SUM(S5:S15)</f>
        <v/>
      </c>
      <c r="T16" s="43">
        <f>SUM(T5:T15)</f>
        <v/>
      </c>
      <c r="U16" s="43">
        <f>SUM(U5:U15)</f>
        <v/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41" t="inlineStr">
        <is>
          <t>Per-person share of the take as AUM grows $100m → $2bn</t>
        </is>
      </c>
    </row>
    <row r="2">
      <c r="A2" s="2" t="inlineStr">
        <is>
          <t>Per-person share = role weight ÷ total weighted units. One individual's slice; declines for every role as the firm hires.</t>
        </is>
      </c>
    </row>
    <row r="4">
      <c r="A4" s="32" t="inlineStr">
        <is>
          <t>AUM (millions) →</t>
        </is>
      </c>
      <c r="B4" s="42" t="n">
        <v>100</v>
      </c>
      <c r="C4" s="42" t="n">
        <v>200</v>
      </c>
      <c r="D4" s="42" t="n">
        <v>300</v>
      </c>
      <c r="E4" s="42" t="n">
        <v>400</v>
      </c>
      <c r="F4" s="42" t="n">
        <v>500</v>
      </c>
      <c r="G4" s="42" t="n">
        <v>600</v>
      </c>
      <c r="H4" s="42" t="n">
        <v>700</v>
      </c>
      <c r="I4" s="42" t="n">
        <v>800</v>
      </c>
      <c r="J4" s="42" t="n">
        <v>900</v>
      </c>
      <c r="K4" s="42" t="n">
        <v>1000</v>
      </c>
      <c r="L4" s="42" t="n">
        <v>1100</v>
      </c>
      <c r="M4" s="42" t="n">
        <v>1200</v>
      </c>
      <c r="N4" s="42" t="n">
        <v>1300</v>
      </c>
      <c r="O4" s="42" t="n">
        <v>1400</v>
      </c>
      <c r="P4" s="42" t="n">
        <v>1500</v>
      </c>
      <c r="Q4" s="42" t="n">
        <v>1600</v>
      </c>
      <c r="R4" s="42" t="n">
        <v>1700</v>
      </c>
      <c r="S4" s="42" t="n">
        <v>1800</v>
      </c>
      <c r="T4" s="42" t="n">
        <v>1900</v>
      </c>
      <c r="U4" s="42" t="n">
        <v>2000</v>
      </c>
    </row>
    <row r="5">
      <c r="A5" s="17" t="inlineStr">
        <is>
          <t>CIO  (wt 16)</t>
        </is>
      </c>
      <c r="B5" s="39" t="n">
        <v>0.3530895334174022</v>
      </c>
      <c r="C5" s="39" t="n">
        <v>0.3371462974111981</v>
      </c>
      <c r="D5" s="39" t="n">
        <v>0.3225806451612903</v>
      </c>
      <c r="E5" s="39" t="n">
        <v>0.2917046490428441</v>
      </c>
      <c r="F5" s="39" t="n">
        <v>0.2662229617304492</v>
      </c>
      <c r="G5" s="39" t="n">
        <v>0.2560819462227913</v>
      </c>
      <c r="H5" s="39" t="n">
        <v>0.2466851680542707</v>
      </c>
      <c r="I5" s="39" t="n">
        <v>0.2379535990481856</v>
      </c>
      <c r="J5" s="39" t="n">
        <v>0.2298190175237001</v>
      </c>
      <c r="K5" s="39" t="n">
        <v>0.2222222222222222</v>
      </c>
      <c r="L5" s="39" t="n">
        <v>0.2168021680216802</v>
      </c>
      <c r="M5" s="39" t="n">
        <v>0.2116402116402117</v>
      </c>
      <c r="N5" s="39" t="n">
        <v>0.20671834625323</v>
      </c>
      <c r="O5" s="39" t="n">
        <v>0.202020202020202</v>
      </c>
      <c r="P5" s="39" t="n">
        <v>0.1975308641975309</v>
      </c>
      <c r="Q5" s="39" t="n">
        <v>0.1932367149758454</v>
      </c>
      <c r="R5" s="39" t="n">
        <v>0.1891252955082743</v>
      </c>
      <c r="S5" s="39" t="n">
        <v>0.1851851851851852</v>
      </c>
      <c r="T5" s="39" t="n">
        <v>0.18140589569161</v>
      </c>
      <c r="U5" s="39" t="n">
        <v>0.1777777777777778</v>
      </c>
    </row>
    <row r="6">
      <c r="A6" s="12" t="inlineStr">
        <is>
          <t>PM  (wt 8)</t>
        </is>
      </c>
      <c r="B6" s="40" t="n">
        <v>0.1765447667087011</v>
      </c>
      <c r="C6" s="40" t="n">
        <v>0.168573148705599</v>
      </c>
      <c r="D6" s="40" t="n">
        <v>0.1612903225806452</v>
      </c>
      <c r="E6" s="40" t="n">
        <v>0.145852324521422</v>
      </c>
      <c r="F6" s="40" t="n">
        <v>0.1331114808652246</v>
      </c>
      <c r="G6" s="40" t="n">
        <v>0.1280409731113956</v>
      </c>
      <c r="H6" s="40" t="n">
        <v>0.1233425840271353</v>
      </c>
      <c r="I6" s="40" t="n">
        <v>0.1189767995240928</v>
      </c>
      <c r="J6" s="40" t="n">
        <v>0.1149095087618501</v>
      </c>
      <c r="K6" s="40" t="n">
        <v>0.1111111111111111</v>
      </c>
      <c r="L6" s="40" t="n">
        <v>0.1084010840108401</v>
      </c>
      <c r="M6" s="40" t="n">
        <v>0.1058201058201058</v>
      </c>
      <c r="N6" s="40" t="n">
        <v>0.103359173126615</v>
      </c>
      <c r="O6" s="40" t="n">
        <v>0.101010101010101</v>
      </c>
      <c r="P6" s="40" t="n">
        <v>0.09876543209876543</v>
      </c>
      <c r="Q6" s="40" t="n">
        <v>0.0966183574879227</v>
      </c>
      <c r="R6" s="40" t="n">
        <v>0.09456264775413713</v>
      </c>
      <c r="S6" s="40" t="n">
        <v>0.09259259259259259</v>
      </c>
      <c r="T6" s="40" t="n">
        <v>0.09070294784580499</v>
      </c>
      <c r="U6" s="40" t="n">
        <v>0.08888888888888889</v>
      </c>
    </row>
    <row r="7">
      <c r="A7" s="17" t="inlineStr">
        <is>
          <t>Analyst  (wt 2.5)</t>
        </is>
      </c>
      <c r="B7" s="39" t="n">
        <v>0.0551702395964691</v>
      </c>
      <c r="C7" s="39" t="n">
        <v>0.05267910897049969</v>
      </c>
      <c r="D7" s="39" t="n">
        <v>0.05040322580645161</v>
      </c>
      <c r="E7" s="39" t="n">
        <v>0.04557885141294439</v>
      </c>
      <c r="F7" s="39" t="n">
        <v>0.04159733777038269</v>
      </c>
      <c r="G7" s="39" t="n">
        <v>0.04001280409731114</v>
      </c>
      <c r="H7" s="39" t="n">
        <v>0.03854455750847979</v>
      </c>
      <c r="I7" s="39" t="n">
        <v>0.037180249851279</v>
      </c>
      <c r="J7" s="39" t="n">
        <v>0.03590922148807815</v>
      </c>
      <c r="K7" s="39" t="n">
        <v>0.03472222222222222</v>
      </c>
      <c r="L7" s="39" t="n">
        <v>0.03387533875338754</v>
      </c>
      <c r="M7" s="39" t="n">
        <v>0.03306878306878307</v>
      </c>
      <c r="N7" s="39" t="n">
        <v>0.03229974160206718</v>
      </c>
      <c r="O7" s="39" t="n">
        <v>0.03156565656565657</v>
      </c>
      <c r="P7" s="39" t="n">
        <v>0.0308641975308642</v>
      </c>
      <c r="Q7" s="39" t="n">
        <v>0.03019323671497585</v>
      </c>
      <c r="R7" s="39" t="n">
        <v>0.02955082742316785</v>
      </c>
      <c r="S7" s="39" t="n">
        <v>0.02893518518518518</v>
      </c>
      <c r="T7" s="39" t="n">
        <v>0.02834467120181406</v>
      </c>
      <c r="U7" s="39" t="n">
        <v>0.02777777777777778</v>
      </c>
    </row>
    <row r="8">
      <c r="A8" s="12" t="inlineStr">
        <is>
          <t>CEO  (wt 8)</t>
        </is>
      </c>
      <c r="B8" s="40" t="n">
        <v>0.1765447667087011</v>
      </c>
      <c r="C8" s="40" t="n">
        <v>0.168573148705599</v>
      </c>
      <c r="D8" s="40" t="n">
        <v>0.1612903225806452</v>
      </c>
      <c r="E8" s="40" t="n">
        <v>0.145852324521422</v>
      </c>
      <c r="F8" s="40" t="n">
        <v>0.1331114808652246</v>
      </c>
      <c r="G8" s="40" t="n">
        <v>0.1280409731113956</v>
      </c>
      <c r="H8" s="40" t="n">
        <v>0.1233425840271353</v>
      </c>
      <c r="I8" s="40" t="n">
        <v>0.1189767995240928</v>
      </c>
      <c r="J8" s="40" t="n">
        <v>0.1149095087618501</v>
      </c>
      <c r="K8" s="40" t="n">
        <v>0.1111111111111111</v>
      </c>
      <c r="L8" s="40" t="n">
        <v>0.1084010840108401</v>
      </c>
      <c r="M8" s="40" t="n">
        <v>0.1058201058201058</v>
      </c>
      <c r="N8" s="40" t="n">
        <v>0.103359173126615</v>
      </c>
      <c r="O8" s="40" t="n">
        <v>0.101010101010101</v>
      </c>
      <c r="P8" s="40" t="n">
        <v>0.09876543209876543</v>
      </c>
      <c r="Q8" s="40" t="n">
        <v>0.0966183574879227</v>
      </c>
      <c r="R8" s="40" t="n">
        <v>0.09456264775413713</v>
      </c>
      <c r="S8" s="40" t="n">
        <v>0.09259259259259259</v>
      </c>
      <c r="T8" s="40" t="n">
        <v>0.09070294784580499</v>
      </c>
      <c r="U8" s="40" t="n">
        <v>0.08888888888888889</v>
      </c>
    </row>
    <row r="9">
      <c r="A9" s="17" t="inlineStr">
        <is>
          <t>CFO  (wt 3)</t>
        </is>
      </c>
      <c r="B9" s="39" t="n">
        <v>0.06620428751576292</v>
      </c>
      <c r="C9" s="39" t="n">
        <v>0.06321493076459964</v>
      </c>
      <c r="D9" s="39" t="n">
        <v>0.06048387096774193</v>
      </c>
      <c r="E9" s="39" t="n">
        <v>0.05469462169553327</v>
      </c>
      <c r="F9" s="39" t="n">
        <v>0.04991680532445923</v>
      </c>
      <c r="G9" s="39" t="n">
        <v>0.04801536491677337</v>
      </c>
      <c r="H9" s="39" t="n">
        <v>0.04625346901017575</v>
      </c>
      <c r="I9" s="39" t="n">
        <v>0.0446162998215348</v>
      </c>
      <c r="J9" s="39" t="n">
        <v>0.04309106578569377</v>
      </c>
      <c r="K9" s="39" t="n">
        <v>0.04166666666666666</v>
      </c>
      <c r="L9" s="39" t="n">
        <v>0.04065040650406504</v>
      </c>
      <c r="M9" s="39" t="n">
        <v>0.03968253968253969</v>
      </c>
      <c r="N9" s="39" t="n">
        <v>0.03875968992248062</v>
      </c>
      <c r="O9" s="39" t="n">
        <v>0.03787878787878788</v>
      </c>
      <c r="P9" s="39" t="n">
        <v>0.03703703703703703</v>
      </c>
      <c r="Q9" s="39" t="n">
        <v>0.03623188405797102</v>
      </c>
      <c r="R9" s="39" t="n">
        <v>0.03546099290780142</v>
      </c>
      <c r="S9" s="39" t="n">
        <v>0.03472222222222222</v>
      </c>
      <c r="T9" s="39" t="n">
        <v>0.03401360544217687</v>
      </c>
      <c r="U9" s="39" t="n">
        <v>0.03333333333333333</v>
      </c>
    </row>
    <row r="10">
      <c r="A10" s="12" t="inlineStr">
        <is>
          <t>COO  (wt 3)</t>
        </is>
      </c>
      <c r="B10" s="40" t="n">
        <v>0.06620428751576292</v>
      </c>
      <c r="C10" s="40" t="n">
        <v>0.06321493076459964</v>
      </c>
      <c r="D10" s="40" t="n">
        <v>0.06048387096774193</v>
      </c>
      <c r="E10" s="40" t="n">
        <v>0.05469462169553327</v>
      </c>
      <c r="F10" s="40" t="n">
        <v>0.04991680532445923</v>
      </c>
      <c r="G10" s="40" t="n">
        <v>0.04801536491677337</v>
      </c>
      <c r="H10" s="40" t="n">
        <v>0.04625346901017575</v>
      </c>
      <c r="I10" s="40" t="n">
        <v>0.0446162998215348</v>
      </c>
      <c r="J10" s="40" t="n">
        <v>0.04309106578569377</v>
      </c>
      <c r="K10" s="40" t="n">
        <v>0.04166666666666666</v>
      </c>
      <c r="L10" s="40" t="n">
        <v>0.04065040650406504</v>
      </c>
      <c r="M10" s="40" t="n">
        <v>0.03968253968253969</v>
      </c>
      <c r="N10" s="40" t="n">
        <v>0.03875968992248062</v>
      </c>
      <c r="O10" s="40" t="n">
        <v>0.03787878787878788</v>
      </c>
      <c r="P10" s="40" t="n">
        <v>0.03703703703703703</v>
      </c>
      <c r="Q10" s="40" t="n">
        <v>0.03623188405797102</v>
      </c>
      <c r="R10" s="40" t="n">
        <v>0.03546099290780142</v>
      </c>
      <c r="S10" s="40" t="n">
        <v>0.03472222222222222</v>
      </c>
      <c r="T10" s="40" t="n">
        <v>0.03401360544217687</v>
      </c>
      <c r="U10" s="40" t="n">
        <v>0.03333333333333333</v>
      </c>
    </row>
    <row r="11">
      <c r="A11" s="17" t="inlineStr">
        <is>
          <t>IR  (wt 1)</t>
        </is>
      </c>
      <c r="B11" s="39" t="n">
        <v>0.02206809583858764</v>
      </c>
      <c r="C11" s="39" t="n">
        <v>0.02107164358819988</v>
      </c>
      <c r="D11" s="39" t="n">
        <v>0.02016129032258064</v>
      </c>
      <c r="E11" s="39" t="n">
        <v>0.01823154056517776</v>
      </c>
      <c r="F11" s="39" t="n">
        <v>0.01663893510815308</v>
      </c>
      <c r="G11" s="39" t="n">
        <v>0.01600512163892446</v>
      </c>
      <c r="H11" s="39" t="n">
        <v>0.01541782300339192</v>
      </c>
      <c r="I11" s="39" t="n">
        <v>0.0148720999405116</v>
      </c>
      <c r="J11" s="39" t="n">
        <v>0.01436368859523126</v>
      </c>
      <c r="K11" s="39" t="n">
        <v>0.01388888888888889</v>
      </c>
      <c r="L11" s="39" t="n">
        <v>0.01355013550135501</v>
      </c>
      <c r="M11" s="39" t="n">
        <v>0.01322751322751323</v>
      </c>
      <c r="N11" s="39" t="n">
        <v>0.01291989664082687</v>
      </c>
      <c r="O11" s="39" t="n">
        <v>0.01262626262626263</v>
      </c>
      <c r="P11" s="39" t="n">
        <v>0.01234567901234568</v>
      </c>
      <c r="Q11" s="39" t="n">
        <v>0.01207729468599034</v>
      </c>
      <c r="R11" s="39" t="n">
        <v>0.01182033096926714</v>
      </c>
      <c r="S11" s="39" t="n">
        <v>0.01157407407407407</v>
      </c>
      <c r="T11" s="39" t="n">
        <v>0.01133786848072562</v>
      </c>
      <c r="U11" s="39" t="n">
        <v>0.01111111111111111</v>
      </c>
    </row>
    <row r="12">
      <c r="A12" s="12" t="inlineStr">
        <is>
          <t>Support  (wt 1)</t>
        </is>
      </c>
      <c r="B12" s="40" t="n">
        <v>0.02206809583858764</v>
      </c>
      <c r="C12" s="40" t="n">
        <v>0.02107164358819988</v>
      </c>
      <c r="D12" s="40" t="n">
        <v>0.02016129032258064</v>
      </c>
      <c r="E12" s="40" t="n">
        <v>0.01823154056517776</v>
      </c>
      <c r="F12" s="40" t="n">
        <v>0.01663893510815308</v>
      </c>
      <c r="G12" s="40" t="n">
        <v>0.01600512163892446</v>
      </c>
      <c r="H12" s="40" t="n">
        <v>0.01541782300339192</v>
      </c>
      <c r="I12" s="40" t="n">
        <v>0.0148720999405116</v>
      </c>
      <c r="J12" s="40" t="n">
        <v>0.01436368859523126</v>
      </c>
      <c r="K12" s="40" t="n">
        <v>0.01388888888888889</v>
      </c>
      <c r="L12" s="40" t="n">
        <v>0.01355013550135501</v>
      </c>
      <c r="M12" s="40" t="n">
        <v>0.01322751322751323</v>
      </c>
      <c r="N12" s="40" t="n">
        <v>0.01291989664082687</v>
      </c>
      <c r="O12" s="40" t="n">
        <v>0.01262626262626263</v>
      </c>
      <c r="P12" s="40" t="n">
        <v>0.01234567901234568</v>
      </c>
      <c r="Q12" s="40" t="n">
        <v>0.01207729468599034</v>
      </c>
      <c r="R12" s="40" t="n">
        <v>0.01182033096926714</v>
      </c>
      <c r="S12" s="40" t="n">
        <v>0.01157407407407407</v>
      </c>
      <c r="T12" s="40" t="n">
        <v>0.01133786848072562</v>
      </c>
      <c r="U12" s="40" t="n">
        <v>0.01111111111111111</v>
      </c>
    </row>
    <row r="13">
      <c r="A13" s="17" t="inlineStr">
        <is>
          <t>Execution  (wt 2)</t>
        </is>
      </c>
      <c r="B13" s="39" t="n">
        <v>0.04413619167717528</v>
      </c>
      <c r="C13" s="39" t="n">
        <v>0.04214328717639976</v>
      </c>
      <c r="D13" s="39" t="n">
        <v>0.04032258064516129</v>
      </c>
      <c r="E13" s="39" t="n">
        <v>0.03646308113035551</v>
      </c>
      <c r="F13" s="39" t="n">
        <v>0.03327787021630615</v>
      </c>
      <c r="G13" s="39" t="n">
        <v>0.03201024327784891</v>
      </c>
      <c r="H13" s="39" t="n">
        <v>0.03083564600678384</v>
      </c>
      <c r="I13" s="39" t="n">
        <v>0.0297441998810232</v>
      </c>
      <c r="J13" s="39" t="n">
        <v>0.02872737719046252</v>
      </c>
      <c r="K13" s="39" t="n">
        <v>0.02777777777777778</v>
      </c>
      <c r="L13" s="39" t="n">
        <v>0.02710027100271003</v>
      </c>
      <c r="M13" s="39" t="n">
        <v>0.02645502645502646</v>
      </c>
      <c r="N13" s="39" t="n">
        <v>0.02583979328165375</v>
      </c>
      <c r="O13" s="39" t="n">
        <v>0.02525252525252525</v>
      </c>
      <c r="P13" s="39" t="n">
        <v>0.02469135802469136</v>
      </c>
      <c r="Q13" s="39" t="n">
        <v>0.02415458937198068</v>
      </c>
      <c r="R13" s="39" t="n">
        <v>0.02364066193853428</v>
      </c>
      <c r="S13" s="39" t="n">
        <v>0.02314814814814815</v>
      </c>
      <c r="T13" s="39" t="n">
        <v>0.02267573696145125</v>
      </c>
      <c r="U13" s="39" t="n">
        <v>0.02222222222222222</v>
      </c>
    </row>
    <row r="14">
      <c r="A14" s="12" t="inlineStr">
        <is>
          <t>Risk  (wt 2)</t>
        </is>
      </c>
      <c r="B14" s="40" t="n">
        <v>0.04413619167717528</v>
      </c>
      <c r="C14" s="40" t="n">
        <v>0.04214328717639976</v>
      </c>
      <c r="D14" s="40" t="n">
        <v>0.04032258064516129</v>
      </c>
      <c r="E14" s="40" t="n">
        <v>0.03646308113035551</v>
      </c>
      <c r="F14" s="40" t="n">
        <v>0.03327787021630615</v>
      </c>
      <c r="G14" s="40" t="n">
        <v>0.03201024327784891</v>
      </c>
      <c r="H14" s="40" t="n">
        <v>0.03083564600678384</v>
      </c>
      <c r="I14" s="40" t="n">
        <v>0.0297441998810232</v>
      </c>
      <c r="J14" s="40" t="n">
        <v>0.02872737719046252</v>
      </c>
      <c r="K14" s="40" t="n">
        <v>0.02777777777777778</v>
      </c>
      <c r="L14" s="40" t="n">
        <v>0.02710027100271003</v>
      </c>
      <c r="M14" s="40" t="n">
        <v>0.02645502645502646</v>
      </c>
      <c r="N14" s="40" t="n">
        <v>0.02583979328165375</v>
      </c>
      <c r="O14" s="40" t="n">
        <v>0.02525252525252525</v>
      </c>
      <c r="P14" s="40" t="n">
        <v>0.02469135802469136</v>
      </c>
      <c r="Q14" s="40" t="n">
        <v>0.02415458937198068</v>
      </c>
      <c r="R14" s="40" t="n">
        <v>0.02364066193853428</v>
      </c>
      <c r="S14" s="40" t="n">
        <v>0.02314814814814815</v>
      </c>
      <c r="T14" s="40" t="n">
        <v>0.02267573696145125</v>
      </c>
      <c r="U14" s="40" t="n">
        <v>0.02222222222222222</v>
      </c>
    </row>
    <row r="15">
      <c r="A15" s="17" t="inlineStr">
        <is>
          <t>Compliance  (wt 1)</t>
        </is>
      </c>
      <c r="B15" s="39" t="n">
        <v>0.02206809583858764</v>
      </c>
      <c r="C15" s="39" t="n">
        <v>0.02107164358819988</v>
      </c>
      <c r="D15" s="39" t="n">
        <v>0.02016129032258064</v>
      </c>
      <c r="E15" s="39" t="n">
        <v>0.01823154056517776</v>
      </c>
      <c r="F15" s="39" t="n">
        <v>0.01663893510815308</v>
      </c>
      <c r="G15" s="39" t="n">
        <v>0.01600512163892446</v>
      </c>
      <c r="H15" s="39" t="n">
        <v>0.01541782300339192</v>
      </c>
      <c r="I15" s="39" t="n">
        <v>0.0148720999405116</v>
      </c>
      <c r="J15" s="39" t="n">
        <v>0.01436368859523126</v>
      </c>
      <c r="K15" s="39" t="n">
        <v>0.01388888888888889</v>
      </c>
      <c r="L15" s="39" t="n">
        <v>0.01355013550135501</v>
      </c>
      <c r="M15" s="39" t="n">
        <v>0.01322751322751323</v>
      </c>
      <c r="N15" s="39" t="n">
        <v>0.01291989664082687</v>
      </c>
      <c r="O15" s="39" t="n">
        <v>0.01262626262626263</v>
      </c>
      <c r="P15" s="39" t="n">
        <v>0.01234567901234568</v>
      </c>
      <c r="Q15" s="39" t="n">
        <v>0.01207729468599034</v>
      </c>
      <c r="R15" s="39" t="n">
        <v>0.01182033096926714</v>
      </c>
      <c r="S15" s="39" t="n">
        <v>0.01157407407407407</v>
      </c>
      <c r="T15" s="39" t="n">
        <v>0.01133786848072562</v>
      </c>
      <c r="U15" s="39" t="n">
        <v>0.01111111111111111</v>
      </c>
    </row>
    <row r="16">
      <c r="A16" s="32" t="inlineStr">
        <is>
          <t>Total units (denominator)</t>
        </is>
      </c>
      <c r="B16" s="44" t="n">
        <v>45.3</v>
      </c>
      <c r="C16" s="44" t="n">
        <v>47.5</v>
      </c>
      <c r="D16" s="44" t="n">
        <v>49.6</v>
      </c>
      <c r="E16" s="44" t="n">
        <v>54.9</v>
      </c>
      <c r="F16" s="44" t="n">
        <v>60.1</v>
      </c>
      <c r="G16" s="44" t="n">
        <v>62.5</v>
      </c>
      <c r="H16" s="44" t="n">
        <v>64.90000000000001</v>
      </c>
      <c r="I16" s="44" t="n">
        <v>67.2</v>
      </c>
      <c r="J16" s="44" t="n">
        <v>69.59999999999999</v>
      </c>
      <c r="K16" s="44" t="n">
        <v>72</v>
      </c>
      <c r="L16" s="44" t="n">
        <v>73.8</v>
      </c>
      <c r="M16" s="44" t="n">
        <v>75.59999999999999</v>
      </c>
      <c r="N16" s="44" t="n">
        <v>77.40000000000001</v>
      </c>
      <c r="O16" s="44" t="n">
        <v>79.2</v>
      </c>
      <c r="P16" s="44" t="n">
        <v>81</v>
      </c>
      <c r="Q16" s="44" t="n">
        <v>82.8</v>
      </c>
      <c r="R16" s="44" t="n">
        <v>84.59999999999999</v>
      </c>
      <c r="S16" s="44" t="n">
        <v>86.40000000000001</v>
      </c>
      <c r="T16" s="44" t="n">
        <v>88.2</v>
      </c>
      <c r="U16" s="44" t="n">
        <v>90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2026-06-22T15:26:15Z</dcterms:created>
  <dcterms:modified xsi:type="dcterms:W3CDTF">2026-06-22T15:26:15Z</dcterms:modified>
</cp:coreProperties>
</file>