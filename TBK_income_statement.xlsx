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Latest Actuals (JPY)" sheetId="2" state="visible" r:id="rId2"/>
    <sheet xmlns:r="http://schemas.openxmlformats.org/officeDocument/2006/relationships" name="Pro-forma (normalized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x"/>
    <numFmt numFmtId="167" formatCode="0.0x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10"/>
    </font>
    <font>
      <b val="1"/>
      <sz val="12"/>
    </font>
    <font>
      <b val="1"/>
      <color rgb="00FFFFFF"/>
    </font>
    <font>
      <b val="1"/>
    </font>
    <font>
      <i val="1"/>
      <color rgb="00595959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833C00"/>
      </patternFill>
    </fill>
    <fill>
      <patternFill patternType="solid">
        <fgColor rgb="007F1D1D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medium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5" fillId="0" borderId="2" pivotButton="0" quotePrefix="0" xfId="0"/>
    <xf numFmtId="0" fontId="0" fillId="0" borderId="2" pivotButton="0" quotePrefix="0" xfId="0"/>
    <xf numFmtId="166" fontId="0" fillId="0" borderId="1" pivotButton="0" quotePrefix="0" xfId="0"/>
    <xf numFmtId="167" fontId="0" fillId="0" borderId="1" pivotButton="0" quotePrefix="0" xfId="0"/>
    <xf numFmtId="167" fontId="0" fillId="0" borderId="1" applyAlignment="1" pivotButton="0" quotePrefix="0" xfId="0">
      <alignment horizontal="right"/>
    </xf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3" fontId="0" fillId="0" borderId="1" pivotButton="0" quotePrefix="0" xfId="0"/>
    <xf numFmtId="0" fontId="6" fillId="0" borderId="0" applyAlignment="1" pivotButton="0" quotePrefix="0" xfId="0">
      <alignment wrapText="1"/>
    </xf>
    <xf numFmtId="0" fontId="4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center" wrapText="1"/>
    </xf>
    <xf numFmtId="3" fontId="5" fillId="0" borderId="1" pivotButton="0" quotePrefix="0" xfId="0"/>
    <xf numFmtId="0" fontId="7" fillId="0" borderId="0" applyAlignment="1" pivotButton="0" quotePrefix="0" xfId="0">
      <alignment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TBK Co Ltd (7277.T) — Income Statement</t>
        </is>
      </c>
    </row>
    <row r="2">
      <c r="A2" s="2" t="inlineStr">
        <is>
          <t>Japan | Automobiles &amp; Components | Fiscal year ending March 31 | Figures in millions</t>
        </is>
      </c>
    </row>
    <row r="4">
      <c r="A4" s="3" t="inlineStr">
        <is>
          <t>Table 1 — Actuals</t>
        </is>
      </c>
    </row>
    <row r="5">
      <c r="A5" s="4" t="inlineStr">
        <is>
          <t>Line item</t>
        </is>
      </c>
      <c r="B5" s="5" t="inlineStr">
        <is>
          <t>FY2016</t>
        </is>
      </c>
      <c r="C5" s="5" t="inlineStr">
        <is>
          <t>FY2017</t>
        </is>
      </c>
      <c r="D5" s="5" t="inlineStr">
        <is>
          <t>FY2018</t>
        </is>
      </c>
      <c r="E5" s="5" t="inlineStr">
        <is>
          <t>FY2019</t>
        </is>
      </c>
      <c r="F5" s="5" t="inlineStr">
        <is>
          <t>FY2020</t>
        </is>
      </c>
      <c r="G5" s="5" t="inlineStr">
        <is>
          <t>FY2021</t>
        </is>
      </c>
      <c r="H5" s="5" t="inlineStr">
        <is>
          <t>FY2022</t>
        </is>
      </c>
      <c r="I5" s="5" t="inlineStr">
        <is>
          <t>FY2023</t>
        </is>
      </c>
      <c r="J5" s="5" t="inlineStr">
        <is>
          <t>FY2024</t>
        </is>
      </c>
      <c r="K5" s="5" t="inlineStr">
        <is>
          <t>FY2025</t>
        </is>
      </c>
    </row>
    <row r="6">
      <c r="A6" s="6" t="inlineStr">
        <is>
          <t>Sales</t>
        </is>
      </c>
      <c r="B6" s="7" t="n">
        <v>392.451527</v>
      </c>
      <c r="C6" s="7" t="n">
        <v>431.542594</v>
      </c>
      <c r="D6" s="7" t="n">
        <v>463.660107</v>
      </c>
      <c r="E6" s="7" t="n">
        <v>483.860481</v>
      </c>
      <c r="F6" s="7" t="n">
        <v>472.341605</v>
      </c>
      <c r="G6" s="7" t="n">
        <v>414.710907</v>
      </c>
      <c r="H6" s="7" t="n">
        <v>456.068612</v>
      </c>
      <c r="I6" s="7" t="n">
        <v>396.129407</v>
      </c>
      <c r="J6" s="7" t="n">
        <v>392.520742</v>
      </c>
      <c r="K6" s="7" t="n">
        <v>357.271177</v>
      </c>
    </row>
    <row r="7">
      <c r="A7" s="8" t="inlineStr">
        <is>
          <t>Gross profit</t>
        </is>
      </c>
      <c r="B7" s="7" t="n">
        <v>44.674429</v>
      </c>
      <c r="C7" s="7" t="n">
        <v>55.432497</v>
      </c>
      <c r="D7" s="7" t="n">
        <v>54.724046</v>
      </c>
      <c r="E7" s="7" t="n">
        <v>57.256418</v>
      </c>
      <c r="F7" s="7" t="n">
        <v>54.529971</v>
      </c>
      <c r="G7" s="7" t="n">
        <v>47.182848</v>
      </c>
      <c r="H7" s="7" t="n">
        <v>47.874999</v>
      </c>
      <c r="I7" s="7" t="n">
        <v>32.35084</v>
      </c>
      <c r="J7" s="7" t="n">
        <v>41.435016</v>
      </c>
      <c r="K7" s="7" t="n">
        <v>38.015255</v>
      </c>
    </row>
    <row r="8">
      <c r="A8" s="8" t="inlineStr">
        <is>
          <t>Gross margin %</t>
        </is>
      </c>
      <c r="B8" s="9" t="n">
        <v>0.113855</v>
      </c>
      <c r="C8" s="9" t="n">
        <v>0.128452</v>
      </c>
      <c r="D8" s="9" t="n">
        <v>0.118046</v>
      </c>
      <c r="E8" s="9" t="n">
        <v>0.118332</v>
      </c>
      <c r="F8" s="9" t="n">
        <v>0.115446</v>
      </c>
      <c r="G8" s="9" t="n">
        <v>0.113773</v>
      </c>
      <c r="H8" s="9" t="n">
        <v>0.104973</v>
      </c>
      <c r="I8" s="9" t="n">
        <v>0.081667</v>
      </c>
      <c r="J8" s="9" t="n">
        <v>0.105561</v>
      </c>
      <c r="K8" s="9" t="n">
        <v>0.106404</v>
      </c>
    </row>
    <row r="9">
      <c r="A9" s="6" t="inlineStr">
        <is>
          <t>Reported EBIT</t>
        </is>
      </c>
      <c r="B9" s="7" t="n">
        <v>11.210281</v>
      </c>
      <c r="C9" s="7" t="n">
        <v>16.821279</v>
      </c>
      <c r="D9" s="7" t="n">
        <v>17.127787</v>
      </c>
      <c r="E9" s="7" t="n">
        <v>13.594678</v>
      </c>
      <c r="F9" s="7" t="n">
        <v>11.601534</v>
      </c>
      <c r="G9" s="7" t="n">
        <v>6.075936</v>
      </c>
      <c r="H9" s="7" t="n">
        <v>5.425358</v>
      </c>
      <c r="I9" s="7" t="n">
        <v>-4.647982</v>
      </c>
      <c r="J9" s="7" t="n">
        <v>6.25578</v>
      </c>
      <c r="K9" s="7" t="n">
        <v>6.1783</v>
      </c>
    </row>
    <row r="10">
      <c r="A10" s="8" t="inlineStr">
        <is>
          <t>EBIT margin %</t>
        </is>
      </c>
      <c r="B10" s="9" t="n">
        <v>0.028565</v>
      </c>
      <c r="C10" s="9" t="n">
        <v>0.038979</v>
      </c>
      <c r="D10" s="9" t="n">
        <v>0.03694</v>
      </c>
      <c r="E10" s="9" t="n">
        <v>0.028096</v>
      </c>
      <c r="F10" s="9" t="n">
        <v>0.024562</v>
      </c>
      <c r="G10" s="9" t="n">
        <v>0.014651</v>
      </c>
      <c r="H10" s="9" t="n">
        <v>0.011896</v>
      </c>
      <c r="I10" s="9" t="n">
        <v>-0.011733</v>
      </c>
      <c r="J10" s="9" t="n">
        <v>0.015937</v>
      </c>
      <c r="K10" s="9" t="n">
        <v>0.017293</v>
      </c>
    </row>
    <row r="11">
      <c r="A11" s="6" t="inlineStr">
        <is>
          <t>EBITA</t>
        </is>
      </c>
      <c r="B11" s="7" t="n">
        <v>8.116097</v>
      </c>
      <c r="C11" s="7" t="n">
        <v>13.377951</v>
      </c>
      <c r="D11" s="7" t="n">
        <v>27.381047</v>
      </c>
      <c r="E11" s="7" t="n">
        <v>11.170494</v>
      </c>
      <c r="F11" s="7" t="n">
        <v>41.647119</v>
      </c>
      <c r="G11" s="7" t="n">
        <v>16.982942</v>
      </c>
      <c r="H11" s="7" t="n">
        <v>1.981687</v>
      </c>
      <c r="I11" s="7" t="n">
        <v>-8.100562</v>
      </c>
      <c r="J11" s="7" t="n">
        <v>2.8032</v>
      </c>
      <c r="K11" s="7" t="n">
        <v>10.899984</v>
      </c>
    </row>
    <row r="12">
      <c r="A12" s="8" t="inlineStr">
        <is>
          <t>EBITA margin %</t>
        </is>
      </c>
      <c r="B12" s="9" t="n">
        <v>0.020681</v>
      </c>
      <c r="C12" s="9" t="n">
        <v>0.031</v>
      </c>
      <c r="D12" s="9" t="n">
        <v>0.059054</v>
      </c>
      <c r="E12" s="9" t="n">
        <v>0.023086</v>
      </c>
      <c r="F12" s="9" t="n">
        <v>0.088172</v>
      </c>
      <c r="G12" s="9" t="n">
        <v>0.040951</v>
      </c>
      <c r="H12" s="9" t="n">
        <v>0.004345</v>
      </c>
      <c r="I12" s="9" t="n">
        <v>-0.020449</v>
      </c>
      <c r="J12" s="9" t="n">
        <v>0.007142</v>
      </c>
      <c r="K12" s="9" t="n">
        <v>0.030509</v>
      </c>
    </row>
    <row r="13">
      <c r="A13" s="6" t="inlineStr">
        <is>
          <t>New Operating Income</t>
        </is>
      </c>
      <c r="B13" s="7" t="n">
        <v>16.121726</v>
      </c>
      <c r="C13" s="7" t="n">
        <v>25.595747</v>
      </c>
      <c r="D13" s="7" t="n">
        <v>24.75886</v>
      </c>
      <c r="E13" s="7" t="n">
        <v>21.748252</v>
      </c>
      <c r="F13" s="7" t="n">
        <v>19.899338</v>
      </c>
      <c r="G13" s="7" t="n">
        <v>15.435748</v>
      </c>
      <c r="H13" s="7" t="n">
        <v>12.9373</v>
      </c>
      <c r="I13" s="7" t="n">
        <v>5.765775</v>
      </c>
      <c r="J13" s="7" t="n">
        <v>3.763794</v>
      </c>
      <c r="K13" s="7" t="n">
        <v>2.291637</v>
      </c>
    </row>
    <row r="14">
      <c r="A14" s="8" t="inlineStr">
        <is>
          <t>New Operating Income margin %</t>
        </is>
      </c>
      <c r="B14" s="9" t="n">
        <v>0.04108</v>
      </c>
      <c r="C14" s="9" t="n">
        <v>0.059312</v>
      </c>
      <c r="D14" s="9" t="n">
        <v>0.053399</v>
      </c>
      <c r="E14" s="9" t="n">
        <v>0.044947</v>
      </c>
      <c r="F14" s="9" t="n">
        <v>0.042129</v>
      </c>
      <c r="G14" s="9" t="n">
        <v>0.037221</v>
      </c>
      <c r="H14" s="9" t="n">
        <v>0.028367</v>
      </c>
      <c r="I14" s="9" t="n">
        <v>0.014555</v>
      </c>
      <c r="J14" s="9" t="n">
        <v>0.009589</v>
      </c>
      <c r="K14" s="9" t="n">
        <v>0.006414</v>
      </c>
    </row>
    <row r="16">
      <c r="A16" s="10" t="inlineStr">
        <is>
          <t>Valuation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>
      <c r="A17" s="8" t="inlineStr">
        <is>
          <t>Enterprise Value (EV)</t>
        </is>
      </c>
      <c r="B17" s="7" t="n">
        <v>221.093449</v>
      </c>
      <c r="C17" s="7" t="n">
        <v>206.582571</v>
      </c>
      <c r="D17" s="7" t="n">
        <v>221.721619</v>
      </c>
      <c r="E17" s="7" t="n">
        <v>172.38069</v>
      </c>
      <c r="F17" s="7" t="n">
        <v>203.397234</v>
      </c>
      <c r="G17" s="7" t="n">
        <v>167.484285</v>
      </c>
      <c r="H17" s="7" t="n">
        <v>122.209142</v>
      </c>
      <c r="I17" s="7" t="n">
        <v>105.207268</v>
      </c>
      <c r="J17" s="7" t="n">
        <v>109.001965</v>
      </c>
      <c r="K17" s="7" t="n">
        <v>87.209847</v>
      </c>
    </row>
    <row r="18">
      <c r="A18" s="8" t="inlineStr">
        <is>
          <t>Market capitalization</t>
        </is>
      </c>
      <c r="B18" s="7" t="n">
        <v>104.826569</v>
      </c>
      <c r="C18" s="7" t="n">
        <v>132.619562</v>
      </c>
      <c r="D18" s="7" t="n">
        <v>140.948045</v>
      </c>
      <c r="E18" s="7" t="n">
        <v>108.577009</v>
      </c>
      <c r="F18" s="7" t="n">
        <v>127.790426</v>
      </c>
      <c r="G18" s="7" t="n">
        <v>119.878143</v>
      </c>
      <c r="H18" s="7" t="n">
        <v>89.97175900000001</v>
      </c>
      <c r="I18" s="7" t="n">
        <v>61.822977</v>
      </c>
      <c r="J18" s="7" t="n">
        <v>73.313643</v>
      </c>
      <c r="K18" s="7" t="n">
        <v>58.280204</v>
      </c>
    </row>
    <row r="19">
      <c r="A19" s="8" t="inlineStr">
        <is>
          <t>EV / Sales</t>
        </is>
      </c>
      <c r="B19" s="12" t="n">
        <v>0.563365</v>
      </c>
      <c r="C19" s="12" t="n">
        <v>0.478707</v>
      </c>
      <c r="D19" s="12" t="n">
        <v>0.478199</v>
      </c>
      <c r="E19" s="12" t="n">
        <v>0.356261</v>
      </c>
      <c r="F19" s="12" t="n">
        <v>0.430615</v>
      </c>
      <c r="G19" s="12" t="n">
        <v>0.403858</v>
      </c>
      <c r="H19" s="12" t="n">
        <v>0.267962</v>
      </c>
      <c r="I19" s="12" t="n">
        <v>0.265588</v>
      </c>
      <c r="J19" s="12" t="n">
        <v>0.277697</v>
      </c>
      <c r="K19" s="12" t="n">
        <v>0.2441</v>
      </c>
    </row>
    <row r="20">
      <c r="A20" s="8" t="inlineStr">
        <is>
          <t>EV / EBITA</t>
        </is>
      </c>
      <c r="B20" s="13" t="n">
        <v>27.241352</v>
      </c>
      <c r="C20" s="13" t="n">
        <v>15.442019</v>
      </c>
      <c r="D20" s="13" t="n">
        <v>8.097631</v>
      </c>
      <c r="E20" s="13" t="n">
        <v>15.431787</v>
      </c>
      <c r="F20" s="13" t="n">
        <v>4.883825</v>
      </c>
      <c r="G20" s="13" t="n">
        <v>9.861912</v>
      </c>
      <c r="H20" s="13" t="n">
        <v>61.669257</v>
      </c>
      <c r="I20" s="14" t="inlineStr">
        <is>
          <t>n/m</t>
        </is>
      </c>
      <c r="J20" s="13" t="n">
        <v>38.884838</v>
      </c>
      <c r="K20" s="13" t="n">
        <v>8.000915000000001</v>
      </c>
    </row>
    <row r="23">
      <c r="A23" s="3" t="inlineStr">
        <is>
          <t>Table 2 — Scenario: 35% gross margin</t>
        </is>
      </c>
    </row>
    <row r="24">
      <c r="A24" s="15" t="inlineStr">
        <is>
          <t>Scenario: gross margin lifted to 35 pct of sales; operating costs below gross profit unchanged, so the uplift flows fully to EBIT and EBITA (after 23 pct tax for New Operating Income). EV shown two ways: 1.0x sales and 12x scenario EBITA; market cap = EV less each year's actual net debt bridge (actual EV - actual market cap).</t>
        </is>
      </c>
    </row>
    <row r="25">
      <c r="A25" s="16" t="inlineStr">
        <is>
          <t>Line item</t>
        </is>
      </c>
      <c r="B25" s="17" t="inlineStr">
        <is>
          <t>FY2016</t>
        </is>
      </c>
      <c r="C25" s="17" t="inlineStr">
        <is>
          <t>FY2017</t>
        </is>
      </c>
      <c r="D25" s="17" t="inlineStr">
        <is>
          <t>FY2018</t>
        </is>
      </c>
      <c r="E25" s="17" t="inlineStr">
        <is>
          <t>FY2019</t>
        </is>
      </c>
      <c r="F25" s="17" t="inlineStr">
        <is>
          <t>FY2020</t>
        </is>
      </c>
      <c r="G25" s="17" t="inlineStr">
        <is>
          <t>FY2021</t>
        </is>
      </c>
      <c r="H25" s="17" t="inlineStr">
        <is>
          <t>FY2022</t>
        </is>
      </c>
      <c r="I25" s="17" t="inlineStr">
        <is>
          <t>FY2023</t>
        </is>
      </c>
      <c r="J25" s="17" t="inlineStr">
        <is>
          <t>FY2024</t>
        </is>
      </c>
      <c r="K25" s="17" t="inlineStr">
        <is>
          <t>FY2025</t>
        </is>
      </c>
    </row>
    <row r="26">
      <c r="A26" s="6" t="inlineStr">
        <is>
          <t>Sales</t>
        </is>
      </c>
      <c r="B26" s="7" t="n">
        <v>392.451527</v>
      </c>
      <c r="C26" s="7" t="n">
        <v>431.542594</v>
      </c>
      <c r="D26" s="7" t="n">
        <v>463.660107</v>
      </c>
      <c r="E26" s="7" t="n">
        <v>483.860481</v>
      </c>
      <c r="F26" s="7" t="n">
        <v>472.341605</v>
      </c>
      <c r="G26" s="7" t="n">
        <v>414.710907</v>
      </c>
      <c r="H26" s="7" t="n">
        <v>456.068612</v>
      </c>
      <c r="I26" s="7" t="n">
        <v>396.129407</v>
      </c>
      <c r="J26" s="7" t="n">
        <v>392.520742</v>
      </c>
      <c r="K26" s="7" t="n">
        <v>357.271177</v>
      </c>
    </row>
    <row r="27">
      <c r="A27" s="8" t="inlineStr">
        <is>
          <t>Gross profit</t>
        </is>
      </c>
      <c r="B27" s="7" t="n">
        <v>137.358034</v>
      </c>
      <c r="C27" s="7" t="n">
        <v>151.039908</v>
      </c>
      <c r="D27" s="7" t="n">
        <v>162.281038</v>
      </c>
      <c r="E27" s="7" t="n">
        <v>169.351168</v>
      </c>
      <c r="F27" s="7" t="n">
        <v>165.319562</v>
      </c>
      <c r="G27" s="7" t="n">
        <v>145.148817</v>
      </c>
      <c r="H27" s="7" t="n">
        <v>159.624014</v>
      </c>
      <c r="I27" s="7" t="n">
        <v>138.645292</v>
      </c>
      <c r="J27" s="7" t="n">
        <v>137.38226</v>
      </c>
      <c r="K27" s="7" t="n">
        <v>125.044912</v>
      </c>
    </row>
    <row r="28">
      <c r="A28" s="8" t="inlineStr">
        <is>
          <t>Gross margin %</t>
        </is>
      </c>
      <c r="B28" s="9" t="n">
        <v>0.35</v>
      </c>
      <c r="C28" s="9" t="n">
        <v>0.35</v>
      </c>
      <c r="D28" s="9" t="n">
        <v>0.35</v>
      </c>
      <c r="E28" s="9" t="n">
        <v>0.35</v>
      </c>
      <c r="F28" s="9" t="n">
        <v>0.35</v>
      </c>
      <c r="G28" s="9" t="n">
        <v>0.35</v>
      </c>
      <c r="H28" s="9" t="n">
        <v>0.35</v>
      </c>
      <c r="I28" s="9" t="n">
        <v>0.35</v>
      </c>
      <c r="J28" s="9" t="n">
        <v>0.35</v>
      </c>
      <c r="K28" s="9" t="n">
        <v>0.35</v>
      </c>
    </row>
    <row r="29">
      <c r="A29" s="6" t="inlineStr">
        <is>
          <t>Reported EBIT</t>
        </is>
      </c>
      <c r="B29" s="7" t="n">
        <v>103.893886</v>
      </c>
      <c r="C29" s="7" t="n">
        <v>112.428689</v>
      </c>
      <c r="D29" s="7" t="n">
        <v>124.684779</v>
      </c>
      <c r="E29" s="7" t="n">
        <v>125.689429</v>
      </c>
      <c r="F29" s="7" t="n">
        <v>122.391125</v>
      </c>
      <c r="G29" s="7" t="n">
        <v>104.041906</v>
      </c>
      <c r="H29" s="7" t="n">
        <v>117.174373</v>
      </c>
      <c r="I29" s="7" t="n">
        <v>101.646471</v>
      </c>
      <c r="J29" s="7" t="n">
        <v>102.203024</v>
      </c>
      <c r="K29" s="7" t="n">
        <v>93.207956</v>
      </c>
    </row>
    <row r="30">
      <c r="A30" s="8" t="inlineStr">
        <is>
          <t>EBIT margin %</t>
        </is>
      </c>
      <c r="B30" s="9" t="n">
        <v>0.26473</v>
      </c>
      <c r="C30" s="9" t="n">
        <v>0.260527</v>
      </c>
      <c r="D30" s="9" t="n">
        <v>0.268914</v>
      </c>
      <c r="E30" s="9" t="n">
        <v>0.259764</v>
      </c>
      <c r="F30" s="9" t="n">
        <v>0.259116</v>
      </c>
      <c r="G30" s="9" t="n">
        <v>0.250878</v>
      </c>
      <c r="H30" s="9" t="n">
        <v>0.256923</v>
      </c>
      <c r="I30" s="9" t="n">
        <v>0.256599</v>
      </c>
      <c r="J30" s="9" t="n">
        <v>0.260376</v>
      </c>
      <c r="K30" s="9" t="n">
        <v>0.260889</v>
      </c>
    </row>
    <row r="31">
      <c r="A31" s="6" t="inlineStr">
        <is>
          <t>EBITA</t>
        </is>
      </c>
      <c r="B31" s="7" t="n">
        <v>100.799702</v>
      </c>
      <c r="C31" s="7" t="n">
        <v>108.985362</v>
      </c>
      <c r="D31" s="7" t="n">
        <v>134.938039</v>
      </c>
      <c r="E31" s="7" t="n">
        <v>123.265245</v>
      </c>
      <c r="F31" s="7" t="n">
        <v>152.43671</v>
      </c>
      <c r="G31" s="7" t="n">
        <v>114.948912</v>
      </c>
      <c r="H31" s="7" t="n">
        <v>113.730701</v>
      </c>
      <c r="I31" s="7" t="n">
        <v>98.19389099999999</v>
      </c>
      <c r="J31" s="7" t="n">
        <v>98.750444</v>
      </c>
      <c r="K31" s="7" t="n">
        <v>97.929641</v>
      </c>
    </row>
    <row r="32">
      <c r="A32" s="8" t="inlineStr">
        <is>
          <t>EBITA margin %</t>
        </is>
      </c>
      <c r="B32" s="9" t="n">
        <v>0.256846</v>
      </c>
      <c r="C32" s="9" t="n">
        <v>0.252548</v>
      </c>
      <c r="D32" s="9" t="n">
        <v>0.291028</v>
      </c>
      <c r="E32" s="9" t="n">
        <v>0.254754</v>
      </c>
      <c r="F32" s="9" t="n">
        <v>0.322726</v>
      </c>
      <c r="G32" s="9" t="n">
        <v>0.277178</v>
      </c>
      <c r="H32" s="9" t="n">
        <v>0.249372</v>
      </c>
      <c r="I32" s="9" t="n">
        <v>0.247883</v>
      </c>
      <c r="J32" s="9" t="n">
        <v>0.25158</v>
      </c>
      <c r="K32" s="9" t="n">
        <v>0.274105</v>
      </c>
    </row>
    <row r="33">
      <c r="A33" s="6" t="inlineStr">
        <is>
          <t>New Operating Income</t>
        </is>
      </c>
      <c r="B33" s="7" t="n">
        <v>87.44824800000001</v>
      </c>
      <c r="C33" s="7" t="n">
        <v>99.172342</v>
      </c>
      <c r="D33" s="7" t="n">
        <v>107.531494</v>
      </c>
      <c r="E33" s="7" t="n">
        <v>108.013009</v>
      </c>
      <c r="F33" s="7" t="n">
        <v>105.159683</v>
      </c>
      <c r="G33" s="7" t="n">
        <v>90.82742</v>
      </c>
      <c r="H33" s="7" t="n">
        <v>98.93598900000001</v>
      </c>
      <c r="I33" s="7" t="n">
        <v>87.56679699999999</v>
      </c>
      <c r="J33" s="7" t="n">
        <v>77.60191399999999</v>
      </c>
      <c r="K33" s="7" t="n">
        <v>69.26705</v>
      </c>
    </row>
    <row r="34">
      <c r="A34" s="8" t="inlineStr">
        <is>
          <t>New Operating Income margin %</t>
        </is>
      </c>
      <c r="B34" s="9" t="n">
        <v>0.222826</v>
      </c>
      <c r="C34" s="9" t="n">
        <v>0.229809</v>
      </c>
      <c r="D34" s="9" t="n">
        <v>0.231919</v>
      </c>
      <c r="E34" s="9" t="n">
        <v>0.223232</v>
      </c>
      <c r="F34" s="9" t="n">
        <v>0.222635</v>
      </c>
      <c r="G34" s="9" t="n">
        <v>0.219014</v>
      </c>
      <c r="H34" s="9" t="n">
        <v>0.216932</v>
      </c>
      <c r="I34" s="9" t="n">
        <v>0.221056</v>
      </c>
      <c r="J34" s="9" t="n">
        <v>0.197701</v>
      </c>
      <c r="K34" s="9" t="n">
        <v>0.193878</v>
      </c>
    </row>
    <row r="36">
      <c r="A36" s="10" t="inlineStr">
        <is>
          <t>Valuation</t>
        </is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</row>
    <row r="37">
      <c r="A37" s="8" t="inlineStr">
        <is>
          <t>EV @ 1.0x Sales</t>
        </is>
      </c>
      <c r="B37" s="7" t="n">
        <v>392.451527</v>
      </c>
      <c r="C37" s="7" t="n">
        <v>431.542594</v>
      </c>
      <c r="D37" s="7" t="n">
        <v>463.660107</v>
      </c>
      <c r="E37" s="7" t="n">
        <v>483.860481</v>
      </c>
      <c r="F37" s="7" t="n">
        <v>472.341605</v>
      </c>
      <c r="G37" s="7" t="n">
        <v>414.710907</v>
      </c>
      <c r="H37" s="7" t="n">
        <v>456.068612</v>
      </c>
      <c r="I37" s="7" t="n">
        <v>396.129407</v>
      </c>
      <c r="J37" s="7" t="n">
        <v>392.520742</v>
      </c>
      <c r="K37" s="7" t="n">
        <v>357.271177</v>
      </c>
    </row>
    <row r="38">
      <c r="A38" s="8" t="inlineStr">
        <is>
          <t>Market cap @ 1.0x Sales</t>
        </is>
      </c>
      <c r="B38" s="7" t="n">
        <v>276.184647</v>
      </c>
      <c r="C38" s="7" t="n">
        <v>357.579584</v>
      </c>
      <c r="D38" s="7" t="n">
        <v>382.886533</v>
      </c>
      <c r="E38" s="7" t="n">
        <v>420.0568</v>
      </c>
      <c r="F38" s="7" t="n">
        <v>396.734798</v>
      </c>
      <c r="G38" s="7" t="n">
        <v>367.104764</v>
      </c>
      <c r="H38" s="7" t="n">
        <v>423.831229</v>
      </c>
      <c r="I38" s="7" t="n">
        <v>352.745116</v>
      </c>
      <c r="J38" s="7" t="n">
        <v>356.83242</v>
      </c>
      <c r="K38" s="7" t="n">
        <v>328.341534</v>
      </c>
    </row>
    <row r="39">
      <c r="A39" s="8" t="inlineStr">
        <is>
          <t>EV @ 12x EBITA</t>
        </is>
      </c>
      <c r="B39" s="7" t="n">
        <v>1209.59642</v>
      </c>
      <c r="C39" s="7" t="n">
        <v>1307.824338</v>
      </c>
      <c r="D39" s="7" t="n">
        <v>1619.25647</v>
      </c>
      <c r="E39" s="7" t="n">
        <v>1479.182938</v>
      </c>
      <c r="F39" s="7" t="n">
        <v>1829.240519</v>
      </c>
      <c r="G39" s="7" t="n">
        <v>1379.386947</v>
      </c>
      <c r="H39" s="7" t="n">
        <v>1364.768416</v>
      </c>
      <c r="I39" s="7" t="n">
        <v>1178.326692</v>
      </c>
      <c r="J39" s="7" t="n">
        <v>1185.005324</v>
      </c>
      <c r="K39" s="7" t="n">
        <v>1175.155692</v>
      </c>
    </row>
    <row r="40">
      <c r="A40" s="8" t="inlineStr">
        <is>
          <t>Market cap @ 12x EBITA</t>
        </is>
      </c>
      <c r="B40" s="7" t="n">
        <v>1093.32954</v>
      </c>
      <c r="C40" s="7" t="n">
        <v>1233.861329</v>
      </c>
      <c r="D40" s="7" t="n">
        <v>1538.482896</v>
      </c>
      <c r="E40" s="7" t="n">
        <v>1415.379257</v>
      </c>
      <c r="F40" s="7" t="n">
        <v>1753.633712</v>
      </c>
      <c r="G40" s="7" t="n">
        <v>1331.780804</v>
      </c>
      <c r="H40" s="7" t="n">
        <v>1332.531033</v>
      </c>
      <c r="I40" s="7" t="n">
        <v>1134.942401</v>
      </c>
      <c r="J40" s="7" t="n">
        <v>1149.317002</v>
      </c>
      <c r="K40" s="7" t="n">
        <v>1146.226049</v>
      </c>
    </row>
    <row r="43">
      <c r="A43" s="3" t="inlineStr">
        <is>
          <t>Table 3 — Scenario: 25% gross margin, opex -12.0M</t>
        </is>
      </c>
    </row>
    <row r="44">
      <c r="A44" s="15" t="inlineStr">
        <is>
          <t>Scenario: gross margin lifted to 25 pct of sales plus a 12.0M annual opex reduction; both flow fully to EBIT and EBITA (after 23 pct tax for New Operating Income). EV shown two ways: 1.0x sales and 12x scenario EBITA; market cap = EV less each year's actual net debt bridge.</t>
        </is>
      </c>
    </row>
    <row r="45">
      <c r="A45" s="18" t="inlineStr">
        <is>
          <t>Line item</t>
        </is>
      </c>
      <c r="B45" s="19" t="inlineStr">
        <is>
          <t>FY2016</t>
        </is>
      </c>
      <c r="C45" s="19" t="inlineStr">
        <is>
          <t>FY2017</t>
        </is>
      </c>
      <c r="D45" s="19" t="inlineStr">
        <is>
          <t>FY2018</t>
        </is>
      </c>
      <c r="E45" s="19" t="inlineStr">
        <is>
          <t>FY2019</t>
        </is>
      </c>
      <c r="F45" s="19" t="inlineStr">
        <is>
          <t>FY2020</t>
        </is>
      </c>
      <c r="G45" s="19" t="inlineStr">
        <is>
          <t>FY2021</t>
        </is>
      </c>
      <c r="H45" s="19" t="inlineStr">
        <is>
          <t>FY2022</t>
        </is>
      </c>
      <c r="I45" s="19" t="inlineStr">
        <is>
          <t>FY2023</t>
        </is>
      </c>
      <c r="J45" s="19" t="inlineStr">
        <is>
          <t>FY2024</t>
        </is>
      </c>
      <c r="K45" s="19" t="inlineStr">
        <is>
          <t>FY2025</t>
        </is>
      </c>
    </row>
    <row r="46">
      <c r="A46" s="6" t="inlineStr">
        <is>
          <t>Sales</t>
        </is>
      </c>
      <c r="B46" s="7" t="n">
        <v>392.451527</v>
      </c>
      <c r="C46" s="7" t="n">
        <v>431.542594</v>
      </c>
      <c r="D46" s="7" t="n">
        <v>463.660107</v>
      </c>
      <c r="E46" s="7" t="n">
        <v>483.860481</v>
      </c>
      <c r="F46" s="7" t="n">
        <v>472.341605</v>
      </c>
      <c r="G46" s="7" t="n">
        <v>414.710907</v>
      </c>
      <c r="H46" s="7" t="n">
        <v>456.068612</v>
      </c>
      <c r="I46" s="7" t="n">
        <v>396.129407</v>
      </c>
      <c r="J46" s="7" t="n">
        <v>392.520742</v>
      </c>
      <c r="K46" s="7" t="n">
        <v>357.271177</v>
      </c>
    </row>
    <row r="47">
      <c r="A47" s="8" t="inlineStr">
        <is>
          <t>Gross profit</t>
        </is>
      </c>
      <c r="B47" s="7" t="n">
        <v>98.112882</v>
      </c>
      <c r="C47" s="7" t="n">
        <v>107.885648</v>
      </c>
      <c r="D47" s="7" t="n">
        <v>115.915027</v>
      </c>
      <c r="E47" s="7" t="n">
        <v>120.96512</v>
      </c>
      <c r="F47" s="7" t="n">
        <v>118.085401</v>
      </c>
      <c r="G47" s="7" t="n">
        <v>103.677727</v>
      </c>
      <c r="H47" s="7" t="n">
        <v>114.017153</v>
      </c>
      <c r="I47" s="7" t="n">
        <v>99.032352</v>
      </c>
      <c r="J47" s="7" t="n">
        <v>98.13018599999999</v>
      </c>
      <c r="K47" s="7" t="n">
        <v>89.31779400000001</v>
      </c>
    </row>
    <row r="48">
      <c r="A48" s="8" t="inlineStr">
        <is>
          <t>Gross margin %</t>
        </is>
      </c>
      <c r="B48" s="9" t="n">
        <v>0.25</v>
      </c>
      <c r="C48" s="9" t="n">
        <v>0.25</v>
      </c>
      <c r="D48" s="9" t="n">
        <v>0.25</v>
      </c>
      <c r="E48" s="9" t="n">
        <v>0.25</v>
      </c>
      <c r="F48" s="9" t="n">
        <v>0.25</v>
      </c>
      <c r="G48" s="9" t="n">
        <v>0.25</v>
      </c>
      <c r="H48" s="9" t="n">
        <v>0.25</v>
      </c>
      <c r="I48" s="9" t="n">
        <v>0.25</v>
      </c>
      <c r="J48" s="9" t="n">
        <v>0.25</v>
      </c>
      <c r="K48" s="9" t="n">
        <v>0.25</v>
      </c>
    </row>
    <row r="49">
      <c r="A49" s="6" t="inlineStr">
        <is>
          <t>Reported EBIT</t>
        </is>
      </c>
      <c r="B49" s="7" t="n">
        <v>76.648734</v>
      </c>
      <c r="C49" s="7" t="n">
        <v>81.27443</v>
      </c>
      <c r="D49" s="7" t="n">
        <v>90.31876800000001</v>
      </c>
      <c r="E49" s="7" t="n">
        <v>89.303381</v>
      </c>
      <c r="F49" s="7" t="n">
        <v>87.156965</v>
      </c>
      <c r="G49" s="7" t="n">
        <v>74.570815</v>
      </c>
      <c r="H49" s="7" t="n">
        <v>83.56751199999999</v>
      </c>
      <c r="I49" s="7" t="n">
        <v>74.033531</v>
      </c>
      <c r="J49" s="7" t="n">
        <v>74.95095000000001</v>
      </c>
      <c r="K49" s="7" t="n">
        <v>69.480839</v>
      </c>
    </row>
    <row r="50">
      <c r="A50" s="8" t="inlineStr">
        <is>
          <t>EBIT margin %</t>
        </is>
      </c>
      <c r="B50" s="9" t="n">
        <v>0.195308</v>
      </c>
      <c r="C50" s="9" t="n">
        <v>0.188335</v>
      </c>
      <c r="D50" s="9" t="n">
        <v>0.194795</v>
      </c>
      <c r="E50" s="9" t="n">
        <v>0.184564</v>
      </c>
      <c r="F50" s="9" t="n">
        <v>0.184521</v>
      </c>
      <c r="G50" s="9" t="n">
        <v>0.179814</v>
      </c>
      <c r="H50" s="9" t="n">
        <v>0.183235</v>
      </c>
      <c r="I50" s="9" t="n">
        <v>0.186892</v>
      </c>
      <c r="J50" s="9" t="n">
        <v>0.190948</v>
      </c>
      <c r="K50" s="9" t="n">
        <v>0.194476</v>
      </c>
    </row>
    <row r="51">
      <c r="A51" s="6" t="inlineStr">
        <is>
          <t>EBITA</t>
        </is>
      </c>
      <c r="B51" s="7" t="n">
        <v>73.55454899999999</v>
      </c>
      <c r="C51" s="7" t="n">
        <v>77.831102</v>
      </c>
      <c r="D51" s="7" t="n">
        <v>100.572028</v>
      </c>
      <c r="E51" s="7" t="n">
        <v>86.879197</v>
      </c>
      <c r="F51" s="7" t="n">
        <v>117.202549</v>
      </c>
      <c r="G51" s="7" t="n">
        <v>85.477822</v>
      </c>
      <c r="H51" s="7" t="n">
        <v>80.12384</v>
      </c>
      <c r="I51" s="7" t="n">
        <v>70.58095</v>
      </c>
      <c r="J51" s="7" t="n">
        <v>71.498369</v>
      </c>
      <c r="K51" s="7" t="n">
        <v>74.202523</v>
      </c>
    </row>
    <row r="52">
      <c r="A52" s="8" t="inlineStr">
        <is>
          <t>EBITA margin %</t>
        </is>
      </c>
      <c r="B52" s="9" t="n">
        <v>0.187423</v>
      </c>
      <c r="C52" s="9" t="n">
        <v>0.180356</v>
      </c>
      <c r="D52" s="9" t="n">
        <v>0.216909</v>
      </c>
      <c r="E52" s="9" t="n">
        <v>0.179554</v>
      </c>
      <c r="F52" s="9" t="n">
        <v>0.248131</v>
      </c>
      <c r="G52" s="9" t="n">
        <v>0.206114</v>
      </c>
      <c r="H52" s="9" t="n">
        <v>0.175684</v>
      </c>
      <c r="I52" s="9" t="n">
        <v>0.178176</v>
      </c>
      <c r="J52" s="9" t="n">
        <v>0.182152</v>
      </c>
      <c r="K52" s="9" t="n">
        <v>0.207692</v>
      </c>
    </row>
    <row r="53">
      <c r="A53" s="6" t="inlineStr">
        <is>
          <t>New Operating Income</t>
        </is>
      </c>
      <c r="B53" s="7" t="n">
        <v>66.481195</v>
      </c>
      <c r="C53" s="7" t="n">
        <v>75.19695900000001</v>
      </c>
      <c r="D53" s="7" t="n">
        <v>81.08444299999999</v>
      </c>
      <c r="E53" s="7" t="n">
        <v>80.011398</v>
      </c>
      <c r="F53" s="7" t="n">
        <v>78.04453100000001</v>
      </c>
      <c r="G53" s="7" t="n">
        <v>68.147353</v>
      </c>
      <c r="H53" s="7" t="n">
        <v>73.07315699999999</v>
      </c>
      <c r="I53" s="7" t="n">
        <v>66.31670699999999</v>
      </c>
      <c r="J53" s="7" t="n">
        <v>56.629536</v>
      </c>
      <c r="K53" s="7" t="n">
        <v>51.007372</v>
      </c>
    </row>
    <row r="54">
      <c r="A54" s="8" t="inlineStr">
        <is>
          <t>New Operating Income margin %</t>
        </is>
      </c>
      <c r="B54" s="9" t="n">
        <v>0.1694</v>
      </c>
      <c r="C54" s="9" t="n">
        <v>0.174252</v>
      </c>
      <c r="D54" s="9" t="n">
        <v>0.174879</v>
      </c>
      <c r="E54" s="9" t="n">
        <v>0.16536</v>
      </c>
      <c r="F54" s="9" t="n">
        <v>0.165229</v>
      </c>
      <c r="G54" s="9" t="n">
        <v>0.164325</v>
      </c>
      <c r="H54" s="9" t="n">
        <v>0.160224</v>
      </c>
      <c r="I54" s="9" t="n">
        <v>0.167412</v>
      </c>
      <c r="J54" s="9" t="n">
        <v>0.144271</v>
      </c>
      <c r="K54" s="9" t="n">
        <v>0.142769</v>
      </c>
    </row>
    <row r="56">
      <c r="A56" s="10" t="inlineStr">
        <is>
          <t>Valuation</t>
        </is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</row>
    <row r="57">
      <c r="A57" s="8" t="inlineStr">
        <is>
          <t>EV @ 1.0x Sales</t>
        </is>
      </c>
      <c r="B57" s="7" t="n">
        <v>392.451527</v>
      </c>
      <c r="C57" s="7" t="n">
        <v>431.542594</v>
      </c>
      <c r="D57" s="7" t="n">
        <v>463.660107</v>
      </c>
      <c r="E57" s="7" t="n">
        <v>483.860481</v>
      </c>
      <c r="F57" s="7" t="n">
        <v>472.341605</v>
      </c>
      <c r="G57" s="7" t="n">
        <v>414.710907</v>
      </c>
      <c r="H57" s="7" t="n">
        <v>456.068612</v>
      </c>
      <c r="I57" s="7" t="n">
        <v>396.129407</v>
      </c>
      <c r="J57" s="7" t="n">
        <v>392.520742</v>
      </c>
      <c r="K57" s="7" t="n">
        <v>357.271177</v>
      </c>
    </row>
    <row r="58">
      <c r="A58" s="8" t="inlineStr">
        <is>
          <t>Market cap @ 1.0x Sales</t>
        </is>
      </c>
      <c r="B58" s="7" t="n">
        <v>276.184647</v>
      </c>
      <c r="C58" s="7" t="n">
        <v>357.579584</v>
      </c>
      <c r="D58" s="7" t="n">
        <v>382.886533</v>
      </c>
      <c r="E58" s="7" t="n">
        <v>420.0568</v>
      </c>
      <c r="F58" s="7" t="n">
        <v>396.734798</v>
      </c>
      <c r="G58" s="7" t="n">
        <v>367.104764</v>
      </c>
      <c r="H58" s="7" t="n">
        <v>423.831229</v>
      </c>
      <c r="I58" s="7" t="n">
        <v>352.745116</v>
      </c>
      <c r="J58" s="7" t="n">
        <v>356.83242</v>
      </c>
      <c r="K58" s="7" t="n">
        <v>328.341534</v>
      </c>
    </row>
    <row r="59">
      <c r="A59" s="8" t="inlineStr">
        <is>
          <t>EV @ 12x EBITA</t>
        </is>
      </c>
      <c r="B59" s="7" t="n">
        <v>882.654588</v>
      </c>
      <c r="C59" s="7" t="n">
        <v>933.973226</v>
      </c>
      <c r="D59" s="7" t="n">
        <v>1206.864342</v>
      </c>
      <c r="E59" s="7" t="n">
        <v>1042.550361</v>
      </c>
      <c r="F59" s="7" t="n">
        <v>1406.430594</v>
      </c>
      <c r="G59" s="7" t="n">
        <v>1025.733858</v>
      </c>
      <c r="H59" s="7" t="n">
        <v>961.486082</v>
      </c>
      <c r="I59" s="7" t="n">
        <v>846.971404</v>
      </c>
      <c r="J59" s="7" t="n">
        <v>857.9804329999999</v>
      </c>
      <c r="K59" s="7" t="n">
        <v>890.43028</v>
      </c>
    </row>
    <row r="60">
      <c r="A60" s="8" t="inlineStr">
        <is>
          <t>Market cap @ 12x EBITA</t>
        </is>
      </c>
      <c r="B60" s="7" t="n">
        <v>766.387708</v>
      </c>
      <c r="C60" s="7" t="n">
        <v>860.010216</v>
      </c>
      <c r="D60" s="7" t="n">
        <v>1126.090767</v>
      </c>
      <c r="E60" s="7" t="n">
        <v>978.74668</v>
      </c>
      <c r="F60" s="7" t="n">
        <v>1330.823786</v>
      </c>
      <c r="G60" s="7" t="n">
        <v>978.127715</v>
      </c>
      <c r="H60" s="7" t="n">
        <v>929.248699</v>
      </c>
      <c r="I60" s="7" t="n">
        <v>803.587113</v>
      </c>
      <c r="J60" s="7" t="n">
        <v>822.292111</v>
      </c>
      <c r="K60" s="7" t="n">
        <v>861.500636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TBK Co Ltd (7277.T) — Latest audited actuals (JGAAP, ¥ millions)</t>
        </is>
      </c>
    </row>
    <row r="2">
      <c r="A2" s="2" t="inlineStr">
        <is>
          <t>Source: Consolidated Financial Results for FY ended March 31, 2026 (tanshin, May 14, 2026). FY3/2027 = company guidance.</t>
        </is>
      </c>
    </row>
    <row r="4">
      <c r="A4" s="20" t="inlineStr">
        <is>
          <t>Line item</t>
        </is>
      </c>
      <c r="B4" s="21" t="inlineStr">
        <is>
          <t>FY3/2025</t>
        </is>
      </c>
      <c r="C4" s="21" t="inlineStr">
        <is>
          <t>FY3/2026</t>
        </is>
      </c>
      <c r="D4" s="21" t="inlineStr">
        <is>
          <t>FY3/2027E</t>
        </is>
      </c>
    </row>
    <row r="5">
      <c r="A5" s="6" t="inlineStr">
        <is>
          <t>Net sales</t>
        </is>
      </c>
      <c r="B5" s="22" t="n">
        <v>54415</v>
      </c>
      <c r="C5" s="22" t="n">
        <v>54756</v>
      </c>
      <c r="D5" s="22" t="n">
        <v>53000</v>
      </c>
    </row>
    <row r="6">
      <c r="A6" s="8" t="inlineStr">
        <is>
          <t>Cost of sales</t>
        </is>
      </c>
      <c r="B6" s="22" t="n">
        <v>48625</v>
      </c>
      <c r="C6" s="22" t="n">
        <v>47931</v>
      </c>
      <c r="D6" s="8" t="n"/>
    </row>
    <row r="7">
      <c r="A7" s="6" t="inlineStr">
        <is>
          <t>Gross profit</t>
        </is>
      </c>
      <c r="B7" s="22" t="n">
        <v>5790</v>
      </c>
      <c r="C7" s="22" t="n">
        <v>6825</v>
      </c>
      <c r="D7" s="8" t="n"/>
    </row>
    <row r="8">
      <c r="A8" s="8" t="inlineStr">
        <is>
          <t>Gross margin %</t>
        </is>
      </c>
      <c r="B8" s="9" t="n">
        <v>0.1064044840577047</v>
      </c>
      <c r="C8" s="9" t="n">
        <v>0.1246438746438746</v>
      </c>
      <c r="D8" s="8" t="n"/>
    </row>
    <row r="9">
      <c r="A9" s="8" t="inlineStr">
        <is>
          <t>SG&amp;A</t>
        </is>
      </c>
      <c r="B9" s="22" t="n">
        <v>4849</v>
      </c>
      <c r="C9" s="22" t="n">
        <v>5329</v>
      </c>
      <c r="D9" s="8" t="n"/>
    </row>
    <row r="10">
      <c r="A10" s="6" t="inlineStr">
        <is>
          <t>Operating profit</t>
        </is>
      </c>
      <c r="B10" s="22" t="n">
        <v>941</v>
      </c>
      <c r="C10" s="22" t="n">
        <v>1496</v>
      </c>
      <c r="D10" s="22" t="n">
        <v>1100</v>
      </c>
    </row>
    <row r="11">
      <c r="A11" s="8" t="inlineStr">
        <is>
          <t>Operating margin %</t>
        </is>
      </c>
      <c r="B11" s="9" t="n">
        <v>0.01729302582008637</v>
      </c>
      <c r="C11" s="9" t="n">
        <v>0.0273212068083863</v>
      </c>
      <c r="D11" s="9" t="n">
        <v>0.02075471698113207</v>
      </c>
    </row>
    <row r="12">
      <c r="A12" s="8" t="inlineStr">
        <is>
          <t>Ordinary profit</t>
        </is>
      </c>
      <c r="B12" s="22" t="n">
        <v>309</v>
      </c>
      <c r="C12" s="22" t="n">
        <v>1730</v>
      </c>
      <c r="D12" s="22" t="n">
        <v>1200</v>
      </c>
    </row>
    <row r="13">
      <c r="A13" s="8" t="inlineStr">
        <is>
          <t>Impairment losses</t>
        </is>
      </c>
      <c r="B13" s="22" t="n">
        <v>459</v>
      </c>
      <c r="C13" s="22" t="n">
        <v>712</v>
      </c>
      <c r="D13" s="8" t="n"/>
    </row>
    <row r="14">
      <c r="A14" s="8" t="inlineStr">
        <is>
          <t>Loss on business restructuring</t>
        </is>
      </c>
      <c r="B14" s="22" t="n">
        <v>775</v>
      </c>
      <c r="C14" s="22" t="n">
        <v>297</v>
      </c>
      <c r="D14" s="8" t="n"/>
    </row>
    <row r="15">
      <c r="A15" s="6" t="inlineStr">
        <is>
          <t>Profit attrib. to owners of parent</t>
        </is>
      </c>
      <c r="B15" s="22" t="n">
        <v>-1204</v>
      </c>
      <c r="C15" s="22" t="n">
        <v>-131</v>
      </c>
      <c r="D15" s="22" t="n">
        <v>600</v>
      </c>
    </row>
    <row r="17">
      <c r="A17" s="6" t="inlineStr">
        <is>
          <t>Cash flow &amp; balance sheet</t>
        </is>
      </c>
      <c r="B17" s="8" t="n"/>
      <c r="C17" s="8" t="n"/>
      <c r="D17" s="8" t="n"/>
    </row>
    <row r="18">
      <c r="A18" s="8" t="inlineStr">
        <is>
          <t>Operating cash flow</t>
        </is>
      </c>
      <c r="B18" s="22" t="n">
        <v>3894</v>
      </c>
      <c r="C18" s="22" t="n">
        <v>4001</v>
      </c>
      <c r="D18" s="8" t="n"/>
    </row>
    <row r="19">
      <c r="A19" s="8" t="inlineStr">
        <is>
          <t>Capex (PP&amp;E + intangibles)</t>
        </is>
      </c>
      <c r="B19" s="22" t="n">
        <v>2272</v>
      </c>
      <c r="C19" s="22" t="n">
        <v>3260</v>
      </c>
      <c r="D19" s="8" t="n"/>
    </row>
    <row r="20">
      <c r="A20" s="8" t="inlineStr">
        <is>
          <t>Depreciation</t>
        </is>
      </c>
      <c r="B20" s="22" t="n">
        <v>3168</v>
      </c>
      <c r="C20" s="22" t="n">
        <v>2921</v>
      </c>
      <c r="D20" s="8" t="n"/>
    </row>
    <row r="21">
      <c r="A21" s="8" t="inlineStr">
        <is>
          <t>Cash &amp; deposits (period end)</t>
        </is>
      </c>
      <c r="B21" s="22" t="n">
        <v>4139</v>
      </c>
      <c r="C21" s="22" t="n">
        <v>7359</v>
      </c>
      <c r="D21" s="8" t="n"/>
    </row>
    <row r="22">
      <c r="A22" s="8" t="inlineStr">
        <is>
          <t>Borrowings (ST + LT)</t>
        </is>
      </c>
      <c r="B22" s="22" t="n">
        <v>7871</v>
      </c>
      <c r="C22" s="22" t="n">
        <v>7579</v>
      </c>
      <c r="D22" s="8" t="n"/>
    </row>
    <row r="23">
      <c r="A23" s="8" t="inlineStr">
        <is>
          <t>Total equity (attrib. to parent)</t>
        </is>
      </c>
      <c r="B23" s="22" t="n">
        <v>28249</v>
      </c>
      <c r="C23" s="22" t="n">
        <v>31359</v>
      </c>
      <c r="D23" s="8" t="n"/>
    </row>
    <row r="24">
      <c r="A24" s="8" t="inlineStr">
        <is>
          <t>Equity ratio %</t>
        </is>
      </c>
      <c r="B24" s="9" t="n">
        <v>0.532</v>
      </c>
      <c r="C24" s="9" t="n">
        <v>0.555</v>
      </c>
      <c r="D24" s="8" t="n"/>
    </row>
    <row r="26">
      <c r="A26" s="6" t="inlineStr">
        <is>
          <t>Key customers (sales)</t>
        </is>
      </c>
      <c r="B26" s="8" t="n"/>
      <c r="C26" s="8" t="n"/>
      <c r="D26" s="8" t="n"/>
    </row>
    <row r="27">
      <c r="A27" s="8" t="inlineStr">
        <is>
          <t>Isuzu Motors</t>
        </is>
      </c>
      <c r="B27" s="22" t="n">
        <v>10329</v>
      </c>
      <c r="C27" s="22" t="n">
        <v>12003</v>
      </c>
      <c r="D27" s="8" t="n"/>
    </row>
    <row r="28">
      <c r="A28" s="8" t="inlineStr">
        <is>
          <t>Mitsubishi Fuso</t>
        </is>
      </c>
      <c r="B28" s="22" t="n">
        <v>3584</v>
      </c>
      <c r="C28" s="22" t="n">
        <v>4197</v>
      </c>
      <c r="D28" s="8" t="n"/>
    </row>
    <row r="29">
      <c r="A29" s="8" t="inlineStr">
        <is>
          <t>Hino Motors</t>
        </is>
      </c>
      <c r="B29" s="22" t="n">
        <v>2006</v>
      </c>
      <c r="C29" s="22" t="n">
        <v>2243</v>
      </c>
      <c r="D29" s="8" t="n"/>
    </row>
    <row r="31">
      <c r="A31" s="6" t="inlineStr">
        <is>
          <t>Geographic segment profit</t>
        </is>
      </c>
      <c r="B31" s="8" t="n"/>
      <c r="C31" s="8" t="n"/>
      <c r="D31" s="8" t="n"/>
    </row>
    <row r="32">
      <c r="A32" s="8" t="inlineStr">
        <is>
          <t>Japan</t>
        </is>
      </c>
      <c r="B32" s="22" t="n">
        <v>154</v>
      </c>
      <c r="C32" s="22" t="n">
        <v>534</v>
      </c>
      <c r="D32" s="8" t="n"/>
    </row>
    <row r="33">
      <c r="A33" s="8" t="inlineStr">
        <is>
          <t>Rest of Asia</t>
        </is>
      </c>
      <c r="B33" s="22" t="n">
        <v>946</v>
      </c>
      <c r="C33" s="22" t="n">
        <v>1232</v>
      </c>
      <c r="D33" s="8" t="n"/>
    </row>
    <row r="34">
      <c r="A34" s="8" t="inlineStr">
        <is>
          <t>China</t>
        </is>
      </c>
      <c r="B34" s="22" t="n">
        <v>-107</v>
      </c>
      <c r="C34" s="22" t="n">
        <v>-107</v>
      </c>
      <c r="D34" s="8" t="n"/>
    </row>
    <row r="35">
      <c r="A35" s="8" t="inlineStr">
        <is>
          <t>North America (exited FY3/26)</t>
        </is>
      </c>
      <c r="B35" s="22" t="n">
        <v>16</v>
      </c>
      <c r="C35" s="22" t="n">
        <v>9</v>
      </c>
      <c r="D35" s="8" t="n"/>
    </row>
    <row r="37">
      <c r="A37" s="15" t="inlineStr">
        <is>
          <t>Notes: FY3/2026 capital increase of ¥1,137M via new share issuance (29.42M → 32.69M shares, ~10%) — the Brakes India placement.</t>
        </is>
      </c>
    </row>
    <row r="38">
      <c r="A38" s="15" t="inlineStr">
        <is>
          <t>TBK America, Inc. deconsolidated in FY3/2026 (North America segment sales ¥4,344M → ¥9M).</t>
        </is>
      </c>
    </row>
    <row r="39">
      <c r="A39" s="15" t="inlineStr">
        <is>
          <t>Cross-check vs USD dataset: FY3/2025 gross margin 10.6% matches the dataset exactly; FY3/2026 marks a recovery to 12.5%.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" t="inlineStr">
        <is>
          <t>TBK — Pro-forma normalized income statement (¥ millions)</t>
        </is>
      </c>
    </row>
    <row r="2" ht="52" customHeight="1">
      <c r="A2" s="23" t="inlineStr">
        <is>
          <t>Base: audited FY3/2026. Premises (management/first-hand): Japanese customers pay ~30% below market across ALL products; factories carry ~1,000 excess heads. Repriced base = group sales less aftermarket arm (~¥2.4bn) and already-market-priced non-keiretsu sales (~¥1.4bn) = ¥51.0bn. Factory fix at ¥4M/head blended (Japan-weighted could reach ¥6bn). Competitive R&amp;D loaded at peer run-rate 4.7% of sales. R&amp;D deficit repayment = separate financing memo.</t>
        </is>
      </c>
    </row>
    <row r="4" ht="42" customHeight="1">
      <c r="A4" s="24" t="inlineStr">
        <is>
          <t>Line item</t>
        </is>
      </c>
      <c r="B4" s="25" t="inlineStr">
        <is>
          <t>Actual FY3/26</t>
        </is>
      </c>
      <c r="C4" s="25" t="inlineStr">
        <is>
          <t>FLOOR: SAW-only reprice</t>
        </is>
      </c>
      <c r="D4" s="25" t="inlineStr">
        <is>
          <t>BASE: half capture (+15%, 500 heads)</t>
        </is>
      </c>
      <c r="E4" s="25" t="inlineStr">
        <is>
          <t>FULL premises (+30% all, 1,000 heads)</t>
        </is>
      </c>
    </row>
    <row r="5">
      <c r="A5" s="6" t="inlineStr">
        <is>
          <t>Net sales</t>
        </is>
      </c>
      <c r="B5" s="26" t="n">
        <v>54756</v>
      </c>
      <c r="C5" s="26" t="n">
        <v>57341</v>
      </c>
      <c r="D5" s="26" t="n">
        <v>62399</v>
      </c>
      <c r="E5" s="26" t="n">
        <v>70043</v>
      </c>
    </row>
    <row r="6">
      <c r="A6" s="8" t="inlineStr">
        <is>
          <t>Cost of sales</t>
        </is>
      </c>
      <c r="B6" s="22" t="n">
        <v>-47931</v>
      </c>
      <c r="C6" s="22" t="n">
        <v>-46431</v>
      </c>
      <c r="D6" s="22" t="n">
        <v>-45931</v>
      </c>
      <c r="E6" s="22" t="n">
        <v>-43931</v>
      </c>
    </row>
    <row r="7">
      <c r="A7" s="6" t="inlineStr">
        <is>
          <t>Gross profit</t>
        </is>
      </c>
      <c r="B7" s="26" t="n">
        <v>6825</v>
      </c>
      <c r="C7" s="26" t="n">
        <v>10910</v>
      </c>
      <c r="D7" s="26" t="n">
        <v>16468</v>
      </c>
      <c r="E7" s="26" t="n">
        <v>26112</v>
      </c>
    </row>
    <row r="8">
      <c r="A8" s="8" t="inlineStr">
        <is>
          <t>Gross margin %</t>
        </is>
      </c>
      <c r="B8" s="9" t="n">
        <v>0.125</v>
      </c>
      <c r="C8" s="9" t="n">
        <v>0.19</v>
      </c>
      <c r="D8" s="9" t="n">
        <v>0.264</v>
      </c>
      <c r="E8" s="9" t="n">
        <v>0.373</v>
      </c>
    </row>
    <row r="9">
      <c r="A9" s="8" t="inlineStr">
        <is>
          <t>SG&amp;A (excl. R&amp;D)</t>
        </is>
      </c>
      <c r="B9" s="22" t="n">
        <v>-4159</v>
      </c>
      <c r="C9" s="22" t="n">
        <v>-4159</v>
      </c>
      <c r="D9" s="22" t="n">
        <v>-4159</v>
      </c>
      <c r="E9" s="22" t="n">
        <v>-4159</v>
      </c>
    </row>
    <row r="10">
      <c r="A10" s="8" t="inlineStr">
        <is>
          <t>R&amp;D (peer run-rate, 4.7% of sales)</t>
        </is>
      </c>
      <c r="B10" s="22" t="n">
        <v>-1170</v>
      </c>
      <c r="C10" s="22" t="n">
        <v>-2695</v>
      </c>
      <c r="D10" s="22" t="n">
        <v>-2933</v>
      </c>
      <c r="E10" s="22" t="n">
        <v>-3292</v>
      </c>
    </row>
    <row r="11">
      <c r="A11" s="6" t="inlineStr">
        <is>
          <t>Operating profit</t>
        </is>
      </c>
      <c r="B11" s="26" t="n">
        <v>1496</v>
      </c>
      <c r="C11" s="26" t="n">
        <v>4056</v>
      </c>
      <c r="D11" s="26" t="n">
        <v>9377</v>
      </c>
      <c r="E11" s="26" t="n">
        <v>18661</v>
      </c>
    </row>
    <row r="12">
      <c r="A12" s="8" t="inlineStr">
        <is>
          <t>Operating margin %</t>
        </is>
      </c>
      <c r="B12" s="9" t="n">
        <v>0.027</v>
      </c>
      <c r="C12" s="9" t="n">
        <v>0.07099999999999999</v>
      </c>
      <c r="D12" s="9" t="n">
        <v>0.15</v>
      </c>
      <c r="E12" s="9" t="n">
        <v>0.266</v>
      </c>
    </row>
    <row r="13">
      <c r="A13" s="8" t="inlineStr">
        <is>
          <t>Non-operating items, net</t>
        </is>
      </c>
      <c r="B13" s="22" t="n">
        <v>234</v>
      </c>
      <c r="C13" s="22" t="n">
        <v>234</v>
      </c>
      <c r="D13" s="22" t="n">
        <v>234</v>
      </c>
      <c r="E13" s="22" t="n">
        <v>234</v>
      </c>
    </row>
    <row r="14">
      <c r="A14" s="6" t="inlineStr">
        <is>
          <t>Ordinary profit</t>
        </is>
      </c>
      <c r="B14" s="26" t="n">
        <v>1730</v>
      </c>
      <c r="C14" s="26" t="n">
        <v>4290</v>
      </c>
      <c r="D14" s="26" t="n">
        <v>9611</v>
      </c>
      <c r="E14" s="26" t="n">
        <v>18895</v>
      </c>
    </row>
    <row r="15">
      <c r="A15" s="8" t="inlineStr">
        <is>
          <t>Extraordinary items (normalized)</t>
        </is>
      </c>
      <c r="B15" s="22" t="n">
        <v>-806</v>
      </c>
      <c r="C15" s="22" t="n">
        <v>0</v>
      </c>
      <c r="D15" s="22" t="n">
        <v>0</v>
      </c>
      <c r="E15" s="22" t="n">
        <v>0</v>
      </c>
    </row>
    <row r="16">
      <c r="A16" s="8" t="inlineStr">
        <is>
          <t>Income taxes (30%)</t>
        </is>
      </c>
      <c r="B16" s="22" t="n">
        <v>-924</v>
      </c>
      <c r="C16" s="22" t="n">
        <v>-1287</v>
      </c>
      <c r="D16" s="22" t="n">
        <v>-2883</v>
      </c>
      <c r="E16" s="22" t="n">
        <v>-5668</v>
      </c>
    </row>
    <row r="17">
      <c r="A17" s="8" t="inlineStr">
        <is>
          <t>Minority interests</t>
        </is>
      </c>
      <c r="B17" s="22" t="n">
        <v>-131</v>
      </c>
      <c r="C17" s="22" t="n">
        <v>-150</v>
      </c>
      <c r="D17" s="22" t="n">
        <v>-150</v>
      </c>
      <c r="E17" s="22" t="n">
        <v>-150</v>
      </c>
    </row>
    <row r="18">
      <c r="A18" s="6" t="inlineStr">
        <is>
          <t>Profit attributable to parent</t>
        </is>
      </c>
      <c r="B18" s="26" t="n">
        <v>-131</v>
      </c>
      <c r="C18" s="26" t="n">
        <v>2853</v>
      </c>
      <c r="D18" s="26" t="n">
        <v>6577</v>
      </c>
      <c r="E18" s="26" t="n">
        <v>13076</v>
      </c>
    </row>
    <row r="19">
      <c r="A19" s="8" t="inlineStr">
        <is>
          <t>Net margin %</t>
        </is>
      </c>
      <c r="B19" s="9" t="n">
        <v>-0.002</v>
      </c>
      <c r="C19" s="9" t="n">
        <v>0.05</v>
      </c>
      <c r="D19" s="9" t="n">
        <v>0.105</v>
      </c>
      <c r="E19" s="9" t="n">
        <v>0.187</v>
      </c>
    </row>
    <row r="20">
      <c r="A20" s="8" t="inlineStr">
        <is>
          <t>EPS (¥, 31.8M shares)</t>
        </is>
      </c>
      <c r="B20" s="22" t="n">
        <v>-4.44</v>
      </c>
      <c r="C20" s="22" t="n">
        <v>90</v>
      </c>
      <c r="D20" s="22" t="n">
        <v>207</v>
      </c>
      <c r="E20" s="22" t="n">
        <v>412</v>
      </c>
    </row>
    <row r="21">
      <c r="A21" s="8" t="inlineStr">
        <is>
          <t>Reference: peer OPM context</t>
        </is>
      </c>
      <c r="B21" s="28" t="inlineStr">
        <is>
          <t>2.7% actual</t>
        </is>
      </c>
      <c r="C21" s="28">
        <f> peer avg 7.2%</f>
        <v/>
      </c>
      <c r="D21" s="28">
        <f> Knorr-class 13-15%</f>
        <v/>
      </c>
      <c r="E21" s="28" t="inlineStr">
        <is>
          <t>ABOVE every peer — read as leakage measure</t>
        </is>
      </c>
    </row>
    <row r="23" ht="14" customHeight="1">
      <c r="A23" s="27" t="inlineStr">
        <is>
          <t>How to read the three tiers:</t>
        </is>
      </c>
    </row>
    <row r="24" ht="28" customHeight="1">
      <c r="A24" s="23" t="inlineStr">
        <is>
          <t>FLOOR (SAW only): conservative, fully triangulated — OPM lands on the brake-peer average (7.2%).</t>
        </is>
      </c>
    </row>
    <row r="25" ht="28" customHeight="1">
      <c r="A25" s="23" t="inlineStr">
        <is>
          <t>BASE (half capture): +15% average reprice and 500 heads — OPM 15.0%, Knorr-Bremse-class. The investable case: assumes competition/OEM resistance erodes half the stated gap.</t>
        </is>
      </c>
    </row>
    <row r="26" ht="28" customHeight="1">
      <c r="A26" s="23" t="inlineStr">
        <is>
          <t>FULL premises: the stated conditions imply 26.6% OPM — above every Western peer. Treat as the MEASURE OF ANNUAL VALUE LEAKAGE (~¥17bn = pricing ¥15.3bn + idle capacity ¥4bn, less R&amp;D step-up), not a forecast: capturing it all would invite OEM/competitive response.</t>
        </is>
      </c>
    </row>
    <row r="27" ht="14" customHeight="1">
      <c r="A27" s="23" t="inlineStr"/>
    </row>
    <row r="28" ht="28" customHeight="1">
      <c r="A28" s="23" t="inlineStr">
        <is>
          <t>MEMO — separate financing items (per scope): R&amp;D deficit repayment ~¥1.5bn/yr x 5 yrs (~¥7.5bn); one-off ADB industrialization capex ¥4.5-7.5bn; restructuring cash cost of the 1,000-head reduction (typically 1-1.5x annual cost ≈ ¥4-6bn one-off).</t>
        </is>
      </c>
    </row>
    <row r="29" ht="28" customHeight="1">
      <c r="A29" s="23" t="inlineStr">
        <is>
          <t>Funding: Brakes India proceeds, net-cash balance sheet (0.45x EBITA), pruned-asset disposals — and the BASE-case P&amp;L self-funds everything within ~18 months.</t>
        </is>
      </c>
    </row>
    <row r="30" ht="14" customHeight="1">
      <c r="A30" s="23" t="inlineStr">
        <is>
          <t>Valuation reference: market cap ~¥9.6bn → BASE-case ~1.5x earnings; FULL premises ~0.7x.</t>
        </is>
      </c>
    </row>
  </sheetData>
  <mergeCells count="8">
    <mergeCell ref="A30:E30"/>
    <mergeCell ref="A29:E29"/>
    <mergeCell ref="A26:E26"/>
    <mergeCell ref="A24:E24"/>
    <mergeCell ref="A25:E25"/>
    <mergeCell ref="A28:E28"/>
    <mergeCell ref="A23:E23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2026-06-12T13:48:46Z</dcterms:created>
  <dcterms:modified xmlns:dcterms="http://purl.org/dc/terms/" xmlns:xsi="http://www.w3.org/2001/XMLSchema-instance" xsi:type="dcterms:W3CDTF">2026-06-12T18:17:29Z</dcterms:modified>
</cp:coreProperties>
</file>