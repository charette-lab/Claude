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150" yWindow="3440" windowWidth="22140" windowHeight="15570" tabRatio="600" firstSheet="0" activeTab="0" autoFilterDateGrouping="1"/>
  </bookViews>
  <sheets>
    <sheet name="Static" sheetId="1" state="visible" r:id="rId1"/>
    <sheet name="Take by AUM" sheetId="2" state="visible" r:id="rId2"/>
    <sheet name="Take per Person" sheetId="3" state="visible" r:id="rId3"/>
    <sheet name="Sheet1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_(* #,##0.0%;_(* \(#,##0.0\)%"/>
    <numFmt numFmtId="166" formatCode="#,##0.0"/>
    <numFmt numFmtId="167" formatCode="$#,##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2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4" tint="-0.249977111117893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color rgb="FF7030A0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1F3864"/>
      <sz val="12"/>
    </font>
    <font>
      <name val="Calibri"/>
      <sz val="10"/>
    </font>
    <font>
      <name val="Calibri"/>
      <b val="1"/>
      <color rgb="00C00000"/>
      <sz val="10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sz val="10"/>
    </font>
    <font>
      <b val="1"/>
      <color rgb="00FFFFFF"/>
      <sz val="10"/>
    </font>
    <font>
      <b val="1"/>
      <color rgb="00FFFFFF"/>
      <sz val="14"/>
    </font>
    <font>
      <i val="1"/>
      <color rgb="00FFFFFF"/>
      <sz val="10"/>
    </font>
    <font>
      <sz val="9"/>
    </font>
    <font>
      <b val="1"/>
      <color rgb="00C00000"/>
      <sz val="10"/>
    </font>
    <font>
      <b val="1"/>
      <color rgb="00FFFFFF"/>
      <sz val="9"/>
    </font>
    <font>
      <b val="1"/>
      <sz val="9"/>
    </font>
  </fonts>
  <fills count="12">
    <fill>
      <patternFill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AF0FA"/>
      </patternFill>
    </fill>
    <fill>
      <patternFill patternType="solid">
        <fgColor rgb="00E2EFDA"/>
      </patternFill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2">
    <xf numFmtId="0" fontId="1" fillId="0" borderId="0"/>
    <xf numFmtId="9" fontId="1" fillId="0" borderId="0"/>
  </cellStyleXfs>
  <cellXfs count="77">
    <xf numFmtId="0" fontId="0" fillId="0" borderId="0" pivotButton="0" quotePrefix="0" xfId="0"/>
    <xf numFmtId="0" fontId="4" fillId="2" borderId="0" pivotButton="0" quotePrefix="0" xfId="0"/>
    <xf numFmtId="0" fontId="2" fillId="2" borderId="0" pivotButton="0" quotePrefix="0" xfId="0"/>
    <xf numFmtId="164" fontId="2" fillId="2" borderId="0" pivotButton="0" quotePrefix="0" xfId="1"/>
    <xf numFmtId="0" fontId="0" fillId="2" borderId="0" pivotButton="0" quotePrefix="0" xfId="0"/>
    <xf numFmtId="165" fontId="5" fillId="0" borderId="0" pivotButton="0" quotePrefix="0" xfId="0"/>
    <xf numFmtId="0" fontId="3" fillId="0" borderId="0" pivotButton="0" quotePrefix="0" xfId="0"/>
    <xf numFmtId="165" fontId="6" fillId="0" borderId="0" pivotButton="0" quotePrefix="0" xfId="1"/>
    <xf numFmtId="10" fontId="7" fillId="0" borderId="0" pivotButton="0" quotePrefix="0" xfId="0"/>
    <xf numFmtId="0" fontId="0" fillId="0" borderId="1" pivotButton="0" quotePrefix="0" xfId="0"/>
    <xf numFmtId="165" fontId="0" fillId="0" borderId="1" pivotButton="0" quotePrefix="0" xfId="0"/>
    <xf numFmtId="0" fontId="4" fillId="3" borderId="0" pivotButton="0" quotePrefix="0" xfId="0"/>
    <xf numFmtId="0" fontId="2" fillId="3" borderId="0" pivotButton="0" quotePrefix="0" xfId="0"/>
    <xf numFmtId="164" fontId="2" fillId="3" borderId="0" pivotButton="0" quotePrefix="0" xfId="1"/>
    <xf numFmtId="0" fontId="0" fillId="4" borderId="0" pivotButton="0" quotePrefix="0" xfId="0"/>
    <xf numFmtId="165" fontId="8" fillId="0" borderId="0" pivotButton="0" quotePrefix="0" xfId="1"/>
    <xf numFmtId="165" fontId="9" fillId="0" borderId="0" pivotButton="0" quotePrefix="0" xfId="1"/>
    <xf numFmtId="165" fontId="0" fillId="0" borderId="0" pivotButton="0" quotePrefix="0" xfId="0"/>
    <xf numFmtId="10" fontId="1" fillId="0" borderId="0" pivotButton="0" quotePrefix="0" xfId="1"/>
    <xf numFmtId="10" fontId="0" fillId="0" borderId="0" pivotButton="0" quotePrefix="0" xfId="0"/>
    <xf numFmtId="165" fontId="0" fillId="0" borderId="0" pivotButton="0" quotePrefix="0" xfId="1"/>
    <xf numFmtId="165" fontId="0" fillId="0" borderId="1" pivotButton="0" quotePrefix="0" xfId="1"/>
    <xf numFmtId="0" fontId="12" fillId="5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center" vertical="center" wrapText="1"/>
    </xf>
    <xf numFmtId="0" fontId="14" fillId="0" borderId="0" pivotButton="0" quotePrefix="0" xfId="0"/>
    <xf numFmtId="0" fontId="15" fillId="6" borderId="2" applyAlignment="1" pivotButton="0" quotePrefix="0" xfId="0">
      <alignment horizontal="left" vertical="center" wrapText="1"/>
    </xf>
    <xf numFmtId="164" fontId="16" fillId="7" borderId="2" applyAlignment="1" pivotButton="0" quotePrefix="0" xfId="0">
      <alignment horizontal="center" vertical="center" wrapText="1"/>
    </xf>
    <xf numFmtId="3" fontId="16" fillId="7" borderId="2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8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left" vertical="center" wrapText="1"/>
    </xf>
    <xf numFmtId="0" fontId="15" fillId="10" borderId="2" applyAlignment="1" pivotButton="0" quotePrefix="0" xfId="0">
      <alignment horizontal="left" vertical="center" wrapText="1"/>
    </xf>
    <xf numFmtId="164" fontId="15" fillId="0" borderId="2" applyAlignment="1" pivotButton="0" quotePrefix="0" xfId="0">
      <alignment horizontal="center" vertical="center" wrapText="1"/>
    </xf>
    <xf numFmtId="166" fontId="15" fillId="0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left" vertical="center" wrapText="1"/>
    </xf>
    <xf numFmtId="166" fontId="19" fillId="11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167" fontId="16" fillId="7" borderId="2" applyAlignment="1" pivotButton="0" quotePrefix="0" xfId="0">
      <alignment horizontal="center" vertical="center" wrapText="1"/>
    </xf>
    <xf numFmtId="1" fontId="16" fillId="7" borderId="2" applyAlignment="1" pivotButton="0" quotePrefix="0" xfId="0">
      <alignment horizontal="center" vertical="center" wrapText="1"/>
    </xf>
    <xf numFmtId="0" fontId="15" fillId="0" borderId="2" pivotButton="0" quotePrefix="0" xfId="0"/>
    <xf numFmtId="0" fontId="15" fillId="10" borderId="2" pivotButton="0" quotePrefix="0" xfId="0"/>
    <xf numFmtId="0" fontId="19" fillId="8" borderId="2" applyAlignment="1" pivotButton="0" quotePrefix="0" xfId="0">
      <alignment horizontal="left" vertical="center" wrapText="1"/>
    </xf>
    <xf numFmtId="0" fontId="19" fillId="8" borderId="2" pivotButton="0" quotePrefix="0" xfId="0"/>
    <xf numFmtId="0" fontId="19" fillId="8" borderId="2" applyAlignment="1" pivotButton="0" quotePrefix="0" xfId="0">
      <alignment horizontal="right" vertical="center"/>
    </xf>
    <xf numFmtId="3" fontId="20" fillId="8" borderId="2" applyAlignment="1" pivotButton="0" quotePrefix="0" xfId="0">
      <alignment horizontal="center" vertical="center" wrapText="1"/>
    </xf>
    <xf numFmtId="0" fontId="19" fillId="11" borderId="2" pivotButton="0" quotePrefix="0" xfId="0"/>
    <xf numFmtId="0" fontId="19" fillId="11" borderId="2" applyAlignment="1" pivotButton="0" quotePrefix="0" xfId="0">
      <alignment horizontal="right" vertical="center"/>
    </xf>
    <xf numFmtId="167" fontId="19" fillId="11" borderId="2" applyAlignment="1" pivotButton="0" quotePrefix="0" xfId="0">
      <alignment horizontal="center" vertical="center" wrapText="1"/>
    </xf>
    <xf numFmtId="0" fontId="15" fillId="6" borderId="2" pivotButton="0" quotePrefix="0" xfId="0"/>
    <xf numFmtId="167" fontId="15" fillId="6" borderId="2" applyAlignment="1" pivotButton="0" quotePrefix="0" xfId="0">
      <alignment horizontal="center" vertical="center" wrapText="1"/>
    </xf>
    <xf numFmtId="1" fontId="15" fillId="6" borderId="2" applyAlignment="1" pivotButton="0" quotePrefix="0" xfId="0">
      <alignment horizontal="center" vertical="center" wrapText="1"/>
    </xf>
    <xf numFmtId="1" fontId="15" fillId="0" borderId="2" applyAlignment="1" pivotButton="0" quotePrefix="0" xfId="0">
      <alignment horizontal="center" vertical="center" wrapText="1"/>
    </xf>
    <xf numFmtId="167" fontId="15" fillId="0" borderId="2" applyAlignment="1" pivotButton="0" quotePrefix="0" xfId="0">
      <alignment horizontal="center" vertical="center" wrapText="1"/>
    </xf>
    <xf numFmtId="1" fontId="15" fillId="10" borderId="2" applyAlignment="1" pivotButton="0" quotePrefix="0" xfId="0">
      <alignment horizontal="center" vertical="center" wrapText="1"/>
    </xf>
    <xf numFmtId="167" fontId="15" fillId="10" borderId="2" applyAlignment="1" pivotButton="0" quotePrefix="0" xfId="0">
      <alignment horizontal="center" vertical="center" wrapText="1"/>
    </xf>
    <xf numFmtId="164" fontId="15" fillId="10" borderId="2" applyAlignment="1" pivotButton="0" quotePrefix="0" xfId="0">
      <alignment horizontal="center" vertical="center" wrapText="1"/>
    </xf>
    <xf numFmtId="0" fontId="15" fillId="6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21" fillId="5" borderId="0" applyAlignment="1" pivotButton="0" quotePrefix="0" xfId="0">
      <alignment horizontal="center" vertical="center" wrapText="1"/>
    </xf>
    <xf numFmtId="0" fontId="22" fillId="5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right" vertical="center"/>
    </xf>
    <xf numFmtId="0" fontId="24" fillId="7" borderId="2" applyAlignment="1" pivotButton="0" quotePrefix="0" xfId="0">
      <alignment horizontal="center" vertical="center" wrapText="1"/>
    </xf>
    <xf numFmtId="0" fontId="25" fillId="8" borderId="2" applyAlignment="1" pivotButton="0" quotePrefix="0" xfId="0">
      <alignment horizontal="center" vertical="center" wrapText="1"/>
    </xf>
    <xf numFmtId="0" fontId="26" fillId="6" borderId="2" applyAlignment="1" pivotButton="0" quotePrefix="0" xfId="0">
      <alignment horizontal="left" vertical="center"/>
    </xf>
    <xf numFmtId="3" fontId="23" fillId="6" borderId="2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left" vertical="center"/>
    </xf>
    <xf numFmtId="164" fontId="23" fillId="0" borderId="2" applyAlignment="1" pivotButton="0" quotePrefix="0" xfId="0">
      <alignment horizontal="center" vertical="center" wrapText="1"/>
    </xf>
    <xf numFmtId="0" fontId="23" fillId="10" borderId="2" applyAlignment="1" pivotButton="0" quotePrefix="0" xfId="0">
      <alignment horizontal="left" vertical="center"/>
    </xf>
    <xf numFmtId="164" fontId="23" fillId="10" borderId="2" applyAlignment="1" pivotButton="0" quotePrefix="0" xfId="0">
      <alignment horizontal="center" vertical="center" wrapText="1"/>
    </xf>
    <xf numFmtId="0" fontId="25" fillId="8" borderId="2" applyAlignment="1" pivotButton="0" quotePrefix="0" xfId="0">
      <alignment horizontal="left" vertical="center"/>
    </xf>
    <xf numFmtId="9" fontId="25" fillId="8" borderId="2" applyAlignment="1" pivotButton="0" quotePrefix="0" xfId="0">
      <alignment horizontal="center" vertical="center" wrapText="1"/>
    </xf>
    <xf numFmtId="3" fontId="25" fillId="8" borderId="2" applyAlignment="1" pivotButton="0" quotePrefix="0" xfId="0">
      <alignment horizontal="center" vertical="center" wrapText="1"/>
    </xf>
    <xf numFmtId="10" fontId="23" fillId="0" borderId="2" applyAlignment="1" pivotButton="0" quotePrefix="0" xfId="0">
      <alignment horizontal="center" vertical="center" wrapText="1"/>
    </xf>
    <xf numFmtId="10" fontId="23" fillId="10" borderId="2" applyAlignment="1" pivotButton="0" quotePrefix="0" xfId="0">
      <alignment horizontal="center" vertical="center" wrapText="1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Role share of the take vs AUM</a:t>
            </a:r>
          </a:p>
        </rich>
      </tx>
    </title>
    <plotArea>
      <lineChart>
        <grouping val="standard"/>
        <ser>
          <idx val="0"/>
          <order val="0"/>
          <tx>
            <strRef>
              <f>'Take by AUM'!A5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AUM'!$B$5:$U$5</f>
            </numRef>
          </val>
        </ser>
        <ser>
          <idx val="1"/>
          <order val="1"/>
          <tx>
            <strRef>
              <f>'Take by AUM'!A6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AUM'!$B$6:$U$6</f>
            </numRef>
          </val>
        </ser>
        <ser>
          <idx val="2"/>
          <order val="2"/>
          <tx>
            <strRef>
              <f>'Take by AUM'!A7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AUM'!$B$7:$U$7</f>
            </numRef>
          </val>
        </ser>
        <ser>
          <idx val="3"/>
          <order val="3"/>
          <tx>
            <strRef>
              <f>'Take by AUM'!A8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AUM'!$B$8:$U$8</f>
            </numRef>
          </val>
        </ser>
        <ser>
          <idx val="4"/>
          <order val="4"/>
          <tx>
            <strRef>
              <f>'Take by AUM'!A9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AUM'!$B$9:$U$9</f>
            </numRef>
          </val>
        </ser>
        <ser>
          <idx val="5"/>
          <order val="5"/>
          <tx>
            <strRef>
              <f>'Take by AUM'!A10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AUM'!$B$10:$U$10</f>
            </numRef>
          </val>
        </ser>
        <ser>
          <idx val="6"/>
          <order val="6"/>
          <tx>
            <strRef>
              <f>'Take by AUM'!A11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AUM'!$B$11:$U$11</f>
            </numRef>
          </val>
        </ser>
        <ser>
          <idx val="7"/>
          <order val="7"/>
          <tx>
            <strRef>
              <f>'Take by AUM'!A12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AUM'!$B$12:$U$12</f>
            </numRef>
          </val>
        </ser>
        <ser>
          <idx val="8"/>
          <order val="8"/>
          <tx>
            <strRef>
              <f>'Take by AUM'!A13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AUM'!$B$13:$U$13</f>
            </numRef>
          </val>
        </ser>
        <ser>
          <idx val="9"/>
          <order val="9"/>
          <tx>
            <strRef>
              <f>'Take by AUM'!A14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AUM'!$B$14:$U$14</f>
            </numRef>
          </val>
        </ser>
        <ser>
          <idx val="10"/>
          <order val="10"/>
          <tx>
            <strRef>
              <f>'Take by AUM'!A15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AUM'!$B$15:$U$15</f>
            </numRef>
          </val>
        </ser>
        <ser>
          <idx val="11"/>
          <order val="11"/>
          <tx>
            <strRef>
              <f>'Take by AUM'!A16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AUM'!$B$16:$U$16</f>
            </numRef>
          </val>
        </ser>
        <ser>
          <idx val="12"/>
          <order val="12"/>
          <tx>
            <strRef>
              <f>'Take by AUM'!A17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AUM'!$B$17:$U$17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AUM (USD 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take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Per-person share of the take vs AUM</a:t>
            </a:r>
          </a:p>
        </rich>
      </tx>
    </title>
    <plotArea>
      <lineChart>
        <grouping val="standard"/>
        <ser>
          <idx val="0"/>
          <order val="0"/>
          <tx>
            <strRef>
              <f>'Take per Person'!A5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Person'!$B$5:$U$5</f>
            </numRef>
          </val>
        </ser>
        <ser>
          <idx val="1"/>
          <order val="1"/>
          <tx>
            <strRef>
              <f>'Take per Person'!A6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Person'!$B$6:$U$6</f>
            </numRef>
          </val>
        </ser>
        <ser>
          <idx val="2"/>
          <order val="2"/>
          <tx>
            <strRef>
              <f>'Take per Person'!A7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Person'!$B$7:$U$7</f>
            </numRef>
          </val>
        </ser>
        <ser>
          <idx val="3"/>
          <order val="3"/>
          <tx>
            <strRef>
              <f>'Take per Person'!A8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Person'!$B$8:$U$8</f>
            </numRef>
          </val>
        </ser>
        <ser>
          <idx val="4"/>
          <order val="4"/>
          <tx>
            <strRef>
              <f>'Take per Person'!A9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Person'!$B$9:$U$9</f>
            </numRef>
          </val>
        </ser>
        <ser>
          <idx val="5"/>
          <order val="5"/>
          <tx>
            <strRef>
              <f>'Take per Person'!A10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Person'!$B$10:$U$10</f>
            </numRef>
          </val>
        </ser>
        <ser>
          <idx val="6"/>
          <order val="6"/>
          <tx>
            <strRef>
              <f>'Take per Person'!A11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Person'!$B$11:$U$11</f>
            </numRef>
          </val>
        </ser>
        <ser>
          <idx val="7"/>
          <order val="7"/>
          <tx>
            <strRef>
              <f>'Take per Person'!A12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Person'!$B$12:$U$12</f>
            </numRef>
          </val>
        </ser>
        <ser>
          <idx val="8"/>
          <order val="8"/>
          <tx>
            <strRef>
              <f>'Take per Person'!A13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Person'!$B$13:$U$13</f>
            </numRef>
          </val>
        </ser>
        <ser>
          <idx val="9"/>
          <order val="9"/>
          <tx>
            <strRef>
              <f>'Take per Person'!A14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Person'!$B$14:$U$14</f>
            </numRef>
          </val>
        </ser>
        <ser>
          <idx val="10"/>
          <order val="10"/>
          <tx>
            <strRef>
              <f>'Take per Person'!A15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Person'!$B$15:$U$15</f>
            </numRef>
          </val>
        </ser>
        <ser>
          <idx val="11"/>
          <order val="11"/>
          <tx>
            <strRef>
              <f>'Take per Person'!A16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Person'!$B$16:$U$16</f>
            </numRef>
          </val>
        </ser>
        <ser>
          <idx val="12"/>
          <order val="12"/>
          <tx>
            <strRef>
              <f>'Take per Person'!A17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Person'!$B$17:$U$17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AUM (USD 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take per person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PhilipG</author>
    <author>EmmaM</author>
  </authors>
  <commentList>
    <comment ref="N25" authorId="0" shapeId="0">
      <text>
        <t>PhilipG:
From Statpro report. E-class</t>
      </text>
    </comment>
    <comment ref="N31" authorId="1" shapeId="0">
      <text>
        <t xml:space="preserve">EmmaM:
MTD Performance 
Class E 
från StatPro-rapporten AIPFII Perf Risk Calcs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8"/>
  <sheetViews>
    <sheetView showGridLines="0" workbookViewId="0">
      <pane xSplit="1" ySplit="20" topLeftCell="B2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3" customWidth="1" min="5" max="5"/>
    <col width="1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A1" s="22" t="inlineStr">
        <is>
          <t>Performance Fee Distribution Framework</t>
        </is>
      </c>
    </row>
    <row r="2" ht="16" customHeight="1">
      <c r="A2" s="23" t="inlineStr">
        <is>
          <t>Athanase Industrial Partner  —  how the performance-fee pool is split by role</t>
        </is>
      </c>
    </row>
    <row r="4">
      <c r="A4" s="24" t="inlineStr">
        <is>
          <t>1.  Global assumptions  (edit the red cells)</t>
        </is>
      </c>
    </row>
    <row r="5">
      <c r="A5" s="25" t="inlineStr">
        <is>
          <t>Performance-fee rate (of profits)</t>
        </is>
      </c>
      <c r="B5" s="59" t="n"/>
      <c r="C5" s="59" t="n"/>
      <c r="D5" s="59" t="n"/>
      <c r="E5" s="60" t="n"/>
      <c r="F5" s="26" t="n">
        <v>0.2</v>
      </c>
    </row>
    <row r="6">
      <c r="A6" s="25" t="inlineStr">
        <is>
          <t>Firm take rate — share of perf-fee funding the comp pool</t>
        </is>
      </c>
      <c r="B6" s="59" t="n"/>
      <c r="C6" s="59" t="n"/>
      <c r="D6" s="59" t="n"/>
      <c r="E6" s="60" t="n"/>
      <c r="F6" s="26" t="n">
        <v>0.6</v>
      </c>
    </row>
    <row r="7">
      <c r="A7" s="25" t="inlineStr">
        <is>
          <t>AUM tier threshold (USD millions)</t>
        </is>
      </c>
      <c r="B7" s="59" t="n"/>
      <c r="C7" s="59" t="n"/>
      <c r="D7" s="59" t="n"/>
      <c r="E7" s="60" t="n"/>
      <c r="F7" s="27" t="n">
        <v>300</v>
      </c>
    </row>
    <row r="8">
      <c r="A8" s="25" t="inlineStr">
        <is>
          <t>Assumed gross return on AUM (drives the demo profit)</t>
        </is>
      </c>
      <c r="B8" s="59" t="n"/>
      <c r="C8" s="59" t="n"/>
      <c r="D8" s="59" t="n"/>
      <c r="E8" s="60" t="n"/>
      <c r="F8" s="26" t="n">
        <v>0.15</v>
      </c>
    </row>
    <row r="9">
      <c r="A9" s="28" t="inlineStr">
        <is>
          <t>Comp pool = Performance fee × take rate. The other 40% is retained by the firm.</t>
        </is>
      </c>
    </row>
    <row r="11">
      <c r="A11" s="24" t="inlineStr">
        <is>
          <t>2.  AUM growth scenarios &amp; performance-fee economics</t>
        </is>
      </c>
    </row>
    <row r="12">
      <c r="A12" s="29" t="inlineStr">
        <is>
          <t>Metric  (USD millions unless noted)</t>
        </is>
      </c>
      <c r="H12" s="30" t="inlineStr">
        <is>
          <t>Scenario 1</t>
        </is>
      </c>
      <c r="I12" s="30" t="inlineStr">
        <is>
          <t>Scenario 2</t>
        </is>
      </c>
      <c r="J12" s="30" t="inlineStr">
        <is>
          <t>Scenario 3</t>
        </is>
      </c>
      <c r="K12" s="30" t="inlineStr">
        <is>
          <t>Scenario 4</t>
        </is>
      </c>
      <c r="L12" s="30" t="inlineStr">
        <is>
          <t>Scenario 5</t>
        </is>
      </c>
      <c r="M12" s="30" t="inlineStr">
        <is>
          <t>Scenario 6</t>
        </is>
      </c>
    </row>
    <row r="13">
      <c r="A13" s="31" t="inlineStr">
        <is>
          <t>AUM  (USD m)</t>
        </is>
      </c>
      <c r="H13" s="27" t="n">
        <v>100</v>
      </c>
      <c r="I13" s="27" t="n">
        <v>300</v>
      </c>
      <c r="J13" s="27" t="n">
        <v>500</v>
      </c>
      <c r="K13" s="27" t="n">
        <v>1000</v>
      </c>
      <c r="L13" s="27" t="n">
        <v>2000</v>
      </c>
      <c r="M13" s="27" t="n">
        <v>5000</v>
      </c>
    </row>
    <row r="14">
      <c r="A14" s="32" t="inlineStr">
        <is>
          <t>Assumed gross return</t>
        </is>
      </c>
      <c r="H14" s="33">
        <f>$F$8</f>
        <v/>
      </c>
      <c r="I14" s="33">
        <f>$F$8</f>
        <v/>
      </c>
      <c r="J14" s="33">
        <f>$F$8</f>
        <v/>
      </c>
      <c r="K14" s="33">
        <f>$F$8</f>
        <v/>
      </c>
      <c r="L14" s="33">
        <f>$F$8</f>
        <v/>
      </c>
      <c r="M14" s="33">
        <f>$F$8</f>
        <v/>
      </c>
    </row>
    <row r="15">
      <c r="A15" s="32" t="inlineStr">
        <is>
          <t>Gross profit  (= AUM × return)</t>
        </is>
      </c>
      <c r="H15" s="34">
        <f>H13*H14</f>
        <v/>
      </c>
      <c r="I15" s="34">
        <f>I13*I14</f>
        <v/>
      </c>
      <c r="J15" s="34">
        <f>J13*J14</f>
        <v/>
      </c>
      <c r="K15" s="34">
        <f>K13*K14</f>
        <v/>
      </c>
      <c r="L15" s="34">
        <f>L13*L14</f>
        <v/>
      </c>
      <c r="M15" s="34">
        <f>M13*M14</f>
        <v/>
      </c>
    </row>
    <row r="16">
      <c r="A16" s="32" t="inlineStr">
        <is>
          <t>Performance fee  (= profit × fee rate)</t>
        </is>
      </c>
      <c r="H16" s="34">
        <f>H15*$F$5</f>
        <v/>
      </c>
      <c r="I16" s="34">
        <f>I15*$F$5</f>
        <v/>
      </c>
      <c r="J16" s="34">
        <f>J15*$F$5</f>
        <v/>
      </c>
      <c r="K16" s="34">
        <f>K15*$F$5</f>
        <v/>
      </c>
      <c r="L16" s="34">
        <f>L15*$F$5</f>
        <v/>
      </c>
      <c r="M16" s="34">
        <f>M15*$F$5</f>
        <v/>
      </c>
    </row>
    <row r="17">
      <c r="A17" s="35" t="inlineStr">
        <is>
          <t>Comp pool  (= perf fee × take rate)</t>
        </is>
      </c>
      <c r="H17" s="36">
        <f>H16*$F$6</f>
        <v/>
      </c>
      <c r="I17" s="36">
        <f>I16*$F$6</f>
        <v/>
      </c>
      <c r="J17" s="36">
        <f>J16*$F$6</f>
        <v/>
      </c>
      <c r="K17" s="36">
        <f>K16*$F$6</f>
        <v/>
      </c>
      <c r="L17" s="36">
        <f>L16*$F$6</f>
        <v/>
      </c>
      <c r="M17" s="36">
        <f>M16*$F$6</f>
        <v/>
      </c>
    </row>
    <row r="18">
      <c r="A18" s="32" t="inlineStr">
        <is>
          <t>Firm retained  (= perf fee × 40%)</t>
        </is>
      </c>
      <c r="H18" s="34">
        <f>H16*(1-$F$6)</f>
        <v/>
      </c>
      <c r="I18" s="34">
        <f>I16*(1-$F$6)</f>
        <v/>
      </c>
      <c r="J18" s="34">
        <f>J16*(1-$F$6)</f>
        <v/>
      </c>
      <c r="K18" s="34">
        <f>K16*(1-$F$6)</f>
        <v/>
      </c>
      <c r="L18" s="34">
        <f>L16*(1-$F$6)</f>
        <v/>
      </c>
      <c r="M18" s="34">
        <f>M16*(1-$F$6)</f>
        <v/>
      </c>
    </row>
    <row r="20" ht="30" customHeight="1">
      <c r="A20" s="24" t="inlineStr">
        <is>
          <t>3.  Organisation, weights &amp; headcount</t>
        </is>
      </c>
      <c r="B20" s="30" t="inlineStr">
        <is>
          <t>Fixed salary
AUM &lt; $300m</t>
        </is>
      </c>
      <c r="C20" s="30" t="inlineStr">
        <is>
          <t>Fixed salary
AUM ≥ $300m</t>
        </is>
      </c>
      <c r="D20" s="30" t="inlineStr">
        <is>
          <t>Performance
weight (per person)</t>
        </is>
      </c>
      <c r="E20" s="30" t="inlineStr"/>
      <c r="F20" s="30" t="inlineStr"/>
      <c r="G20" s="30" t="inlineStr">
        <is>
          <t>Headcount →</t>
        </is>
      </c>
      <c r="H20" s="30" t="inlineStr">
        <is>
          <t>@ $100m</t>
        </is>
      </c>
      <c r="I20" s="30" t="inlineStr">
        <is>
          <t>@ $300m</t>
        </is>
      </c>
      <c r="J20" s="30" t="inlineStr">
        <is>
          <t>@ $500m</t>
        </is>
      </c>
      <c r="K20" s="30" t="inlineStr">
        <is>
          <t>@ $1,000m</t>
        </is>
      </c>
      <c r="L20" s="30" t="inlineStr">
        <is>
          <t>@ $2,000m</t>
        </is>
      </c>
      <c r="M20" s="30" t="inlineStr">
        <is>
          <t>@ $5,000m</t>
        </is>
      </c>
    </row>
    <row r="21">
      <c r="A21" s="37" t="inlineStr">
        <is>
          <t>Managing Partner / CIO</t>
        </is>
      </c>
      <c r="B21" s="38" t="n">
        <v>300000</v>
      </c>
      <c r="C21" s="38" t="n">
        <v>500000</v>
      </c>
      <c r="D21" s="39" t="n">
        <v>100</v>
      </c>
      <c r="E21" s="40" t="inlineStr"/>
      <c r="F21" s="40" t="inlineStr"/>
      <c r="G21" s="40" t="inlineStr"/>
      <c r="H21" s="39" t="n">
        <v>1</v>
      </c>
      <c r="I21" s="39" t="n">
        <v>1</v>
      </c>
      <c r="J21" s="39" t="n">
        <v>1</v>
      </c>
      <c r="K21" s="39" t="n">
        <v>1</v>
      </c>
      <c r="L21" s="39" t="n">
        <v>1</v>
      </c>
      <c r="M21" s="39" t="n">
        <v>1</v>
      </c>
    </row>
    <row r="22">
      <c r="A22" s="32" t="inlineStr">
        <is>
          <t>Partner / Co-Portfolio Manager</t>
        </is>
      </c>
      <c r="B22" s="38" t="n">
        <v>250000</v>
      </c>
      <c r="C22" s="38" t="n">
        <v>400000</v>
      </c>
      <c r="D22" s="39" t="n">
        <v>60</v>
      </c>
      <c r="E22" s="41" t="inlineStr"/>
      <c r="F22" s="41" t="inlineStr"/>
      <c r="G22" s="41" t="inlineStr"/>
      <c r="H22" s="39" t="n">
        <v>1</v>
      </c>
      <c r="I22" s="39" t="n">
        <v>1</v>
      </c>
      <c r="J22" s="39" t="n">
        <v>2</v>
      </c>
      <c r="K22" s="39" t="n">
        <v>2</v>
      </c>
      <c r="L22" s="39" t="n">
        <v>3</v>
      </c>
      <c r="M22" s="39" t="n">
        <v>4</v>
      </c>
    </row>
    <row r="23">
      <c r="A23" s="37" t="inlineStr">
        <is>
          <t>Portfolio Manager</t>
        </is>
      </c>
      <c r="B23" s="38" t="n">
        <v>200000</v>
      </c>
      <c r="C23" s="38" t="n">
        <v>300000</v>
      </c>
      <c r="D23" s="39" t="n">
        <v>40</v>
      </c>
      <c r="E23" s="40" t="inlineStr"/>
      <c r="F23" s="40" t="inlineStr"/>
      <c r="G23" s="40" t="inlineStr"/>
      <c r="H23" s="39" t="n">
        <v>0</v>
      </c>
      <c r="I23" s="39" t="n">
        <v>1</v>
      </c>
      <c r="J23" s="39" t="n">
        <v>1</v>
      </c>
      <c r="K23" s="39" t="n">
        <v>2</v>
      </c>
      <c r="L23" s="39" t="n">
        <v>3</v>
      </c>
      <c r="M23" s="39" t="n">
        <v>5</v>
      </c>
    </row>
    <row r="24">
      <c r="A24" s="32" t="inlineStr">
        <is>
          <t>Head of Research</t>
        </is>
      </c>
      <c r="B24" s="38" t="n">
        <v>180000</v>
      </c>
      <c r="C24" s="38" t="n">
        <v>250000</v>
      </c>
      <c r="D24" s="39" t="n">
        <v>30</v>
      </c>
      <c r="E24" s="41" t="inlineStr"/>
      <c r="F24" s="41" t="inlineStr"/>
      <c r="G24" s="41" t="inlineStr"/>
      <c r="H24" s="39" t="n">
        <v>0</v>
      </c>
      <c r="I24" s="39" t="n">
        <v>1</v>
      </c>
      <c r="J24" s="39" t="n">
        <v>1</v>
      </c>
      <c r="K24" s="39" t="n">
        <v>1</v>
      </c>
      <c r="L24" s="39" t="n">
        <v>1</v>
      </c>
      <c r="M24" s="39" t="n">
        <v>1</v>
      </c>
    </row>
    <row r="25">
      <c r="A25" s="37" t="inlineStr">
        <is>
          <t>Senior Analyst</t>
        </is>
      </c>
      <c r="B25" s="38" t="n">
        <v>150000</v>
      </c>
      <c r="C25" s="38" t="n">
        <v>200000</v>
      </c>
      <c r="D25" s="39" t="n">
        <v>20</v>
      </c>
      <c r="E25" s="40" t="inlineStr"/>
      <c r="F25" s="40" t="inlineStr"/>
      <c r="G25" s="40" t="inlineStr"/>
      <c r="H25" s="39" t="n">
        <v>1</v>
      </c>
      <c r="I25" s="39" t="n">
        <v>1</v>
      </c>
      <c r="J25" s="39" t="n">
        <v>2</v>
      </c>
      <c r="K25" s="39" t="n">
        <v>3</v>
      </c>
      <c r="L25" s="39" t="n">
        <v>4</v>
      </c>
      <c r="M25" s="39" t="n">
        <v>6</v>
      </c>
    </row>
    <row r="26">
      <c r="A26" s="32" t="inlineStr">
        <is>
          <t>Analyst</t>
        </is>
      </c>
      <c r="B26" s="38" t="n">
        <v>110000</v>
      </c>
      <c r="C26" s="38" t="n">
        <v>140000</v>
      </c>
      <c r="D26" s="39" t="n">
        <v>12</v>
      </c>
      <c r="E26" s="41" t="inlineStr"/>
      <c r="F26" s="41" t="inlineStr"/>
      <c r="G26" s="41" t="inlineStr"/>
      <c r="H26" s="39" t="n">
        <v>1</v>
      </c>
      <c r="I26" s="39" t="n">
        <v>2</v>
      </c>
      <c r="J26" s="39" t="n">
        <v>3</v>
      </c>
      <c r="K26" s="39" t="n">
        <v>4</v>
      </c>
      <c r="L26" s="39" t="n">
        <v>6</v>
      </c>
      <c r="M26" s="39" t="n">
        <v>10</v>
      </c>
    </row>
    <row r="27">
      <c r="A27" s="37" t="inlineStr">
        <is>
          <t>Junior Analyst</t>
        </is>
      </c>
      <c r="B27" s="38" t="n">
        <v>85000</v>
      </c>
      <c r="C27" s="38" t="n">
        <v>100000</v>
      </c>
      <c r="D27" s="39" t="n">
        <v>6</v>
      </c>
      <c r="E27" s="40" t="inlineStr"/>
      <c r="F27" s="40" t="inlineStr"/>
      <c r="G27" s="40" t="inlineStr"/>
      <c r="H27" s="39" t="n">
        <v>0</v>
      </c>
      <c r="I27" s="39" t="n">
        <v>1</v>
      </c>
      <c r="J27" s="39" t="n">
        <v>2</v>
      </c>
      <c r="K27" s="39" t="n">
        <v>3</v>
      </c>
      <c r="L27" s="39" t="n">
        <v>4</v>
      </c>
      <c r="M27" s="39" t="n">
        <v>8</v>
      </c>
    </row>
    <row r="28">
      <c r="A28" s="32" t="inlineStr">
        <is>
          <t>Head of Trading</t>
        </is>
      </c>
      <c r="B28" s="38" t="n">
        <v>160000</v>
      </c>
      <c r="C28" s="38" t="n">
        <v>220000</v>
      </c>
      <c r="D28" s="39" t="n">
        <v>18</v>
      </c>
      <c r="E28" s="41" t="inlineStr"/>
      <c r="F28" s="41" t="inlineStr"/>
      <c r="G28" s="41" t="inlineStr"/>
      <c r="H28" s="39" t="n">
        <v>0</v>
      </c>
      <c r="I28" s="39" t="n">
        <v>0</v>
      </c>
      <c r="J28" s="39" t="n">
        <v>1</v>
      </c>
      <c r="K28" s="39" t="n">
        <v>1</v>
      </c>
      <c r="L28" s="39" t="n">
        <v>1</v>
      </c>
      <c r="M28" s="39" t="n">
        <v>1</v>
      </c>
    </row>
    <row r="29">
      <c r="A29" s="37" t="inlineStr">
        <is>
          <t>Trader / Execution</t>
        </is>
      </c>
      <c r="B29" s="38" t="n">
        <v>120000</v>
      </c>
      <c r="C29" s="38" t="n">
        <v>150000</v>
      </c>
      <c r="D29" s="39" t="n">
        <v>10</v>
      </c>
      <c r="E29" s="40" t="inlineStr"/>
      <c r="F29" s="40" t="inlineStr"/>
      <c r="G29" s="40" t="inlineStr"/>
      <c r="H29" s="39" t="n">
        <v>0</v>
      </c>
      <c r="I29" s="39" t="n">
        <v>1</v>
      </c>
      <c r="J29" s="39" t="n">
        <v>1</v>
      </c>
      <c r="K29" s="39" t="n">
        <v>2</v>
      </c>
      <c r="L29" s="39" t="n">
        <v>2</v>
      </c>
      <c r="M29" s="39" t="n">
        <v>3</v>
      </c>
    </row>
    <row r="30">
      <c r="A30" s="32" t="inlineStr">
        <is>
          <t>COO / Head of Operations</t>
        </is>
      </c>
      <c r="B30" s="38" t="n">
        <v>170000</v>
      </c>
      <c r="C30" s="38" t="n">
        <v>230000</v>
      </c>
      <c r="D30" s="39" t="n">
        <v>15</v>
      </c>
      <c r="E30" s="41" t="inlineStr"/>
      <c r="F30" s="41" t="inlineStr"/>
      <c r="G30" s="41" t="inlineStr"/>
      <c r="H30" s="39" t="n">
        <v>1</v>
      </c>
      <c r="I30" s="39" t="n">
        <v>1</v>
      </c>
      <c r="J30" s="39" t="n">
        <v>1</v>
      </c>
      <c r="K30" s="39" t="n">
        <v>1</v>
      </c>
      <c r="L30" s="39" t="n">
        <v>1</v>
      </c>
      <c r="M30" s="39" t="n">
        <v>1</v>
      </c>
    </row>
    <row r="31">
      <c r="A31" s="37" t="inlineStr">
        <is>
          <t>CFO / Finance</t>
        </is>
      </c>
      <c r="B31" s="38" t="n">
        <v>160000</v>
      </c>
      <c r="C31" s="38" t="n">
        <v>210000</v>
      </c>
      <c r="D31" s="39" t="n">
        <v>12</v>
      </c>
      <c r="E31" s="40" t="inlineStr"/>
      <c r="F31" s="40" t="inlineStr"/>
      <c r="G31" s="40" t="inlineStr"/>
      <c r="H31" s="39" t="n">
        <v>0</v>
      </c>
      <c r="I31" s="39" t="n">
        <v>1</v>
      </c>
      <c r="J31" s="39" t="n">
        <v>1</v>
      </c>
      <c r="K31" s="39" t="n">
        <v>1</v>
      </c>
      <c r="L31" s="39" t="n">
        <v>1</v>
      </c>
      <c r="M31" s="39" t="n">
        <v>1</v>
      </c>
    </row>
    <row r="32">
      <c r="A32" s="32" t="inlineStr">
        <is>
          <t>Compliance / Legal</t>
        </is>
      </c>
      <c r="B32" s="38" t="n">
        <v>140000</v>
      </c>
      <c r="C32" s="38" t="n">
        <v>180000</v>
      </c>
      <c r="D32" s="39" t="n">
        <v>8</v>
      </c>
      <c r="E32" s="41" t="inlineStr"/>
      <c r="F32" s="41" t="inlineStr"/>
      <c r="G32" s="41" t="inlineStr"/>
      <c r="H32" s="39" t="n">
        <v>0</v>
      </c>
      <c r="I32" s="39" t="n">
        <v>0</v>
      </c>
      <c r="J32" s="39" t="n">
        <v>1</v>
      </c>
      <c r="K32" s="39" t="n">
        <v>1</v>
      </c>
      <c r="L32" s="39" t="n">
        <v>1</v>
      </c>
      <c r="M32" s="39" t="n">
        <v>2</v>
      </c>
    </row>
    <row r="33">
      <c r="A33" s="37" t="inlineStr">
        <is>
          <t>Investor Relations / Ops Assoc.</t>
        </is>
      </c>
      <c r="B33" s="38" t="n">
        <v>100000</v>
      </c>
      <c r="C33" s="38" t="n">
        <v>130000</v>
      </c>
      <c r="D33" s="39" t="n">
        <v>5</v>
      </c>
      <c r="E33" s="40" t="inlineStr"/>
      <c r="F33" s="40" t="inlineStr"/>
      <c r="G33" s="40" t="inlineStr"/>
      <c r="H33" s="39" t="n">
        <v>1</v>
      </c>
      <c r="I33" s="39" t="n">
        <v>1</v>
      </c>
      <c r="J33" s="39" t="n">
        <v>1</v>
      </c>
      <c r="K33" s="39" t="n">
        <v>2</v>
      </c>
      <c r="L33" s="39" t="n">
        <v>3</v>
      </c>
      <c r="M33" s="39" t="n">
        <v>5</v>
      </c>
    </row>
    <row r="34">
      <c r="A34" s="42" t="inlineStr">
        <is>
          <t>Total performance units</t>
        </is>
      </c>
      <c r="B34" s="43" t="inlineStr"/>
      <c r="C34" s="43" t="inlineStr"/>
      <c r="D34" s="43" t="inlineStr"/>
      <c r="E34" s="43" t="inlineStr"/>
      <c r="F34" s="43" t="inlineStr"/>
      <c r="G34" s="44" t="inlineStr">
        <is>
          <t>Σ weight×HC →</t>
        </is>
      </c>
      <c r="H34" s="45">
        <f>SUMPRODUCT($D$21:$D$33,H21:H33)</f>
        <v/>
      </c>
      <c r="I34" s="45">
        <f>SUMPRODUCT($D$21:$D$33,I21:I33)</f>
        <v/>
      </c>
      <c r="J34" s="45">
        <f>SUMPRODUCT($D$21:$D$33,J21:J33)</f>
        <v/>
      </c>
      <c r="K34" s="45">
        <f>SUMPRODUCT($D$21:$D$33,K21:K33)</f>
        <v/>
      </c>
      <c r="L34" s="45">
        <f>SUMPRODUCT($D$21:$D$33,L21:L33)</f>
        <v/>
      </c>
      <c r="M34" s="45">
        <f>SUMPRODUCT($D$21:$D$33,M21:M33)</f>
        <v/>
      </c>
    </row>
    <row r="35">
      <c r="A35" s="35" t="inlineStr">
        <is>
          <t>USD value per performance unit</t>
        </is>
      </c>
      <c r="B35" s="46" t="inlineStr"/>
      <c r="C35" s="46" t="inlineStr"/>
      <c r="D35" s="46" t="inlineStr"/>
      <c r="E35" s="46" t="inlineStr"/>
      <c r="F35" s="46" t="inlineStr"/>
      <c r="G35" s="47" t="inlineStr">
        <is>
          <t>pool ÷ units →</t>
        </is>
      </c>
      <c r="H35" s="48">
        <f>IF(H34=0,0,H17*1000000/H34)</f>
        <v/>
      </c>
      <c r="I35" s="48">
        <f>IF(I34=0,0,I17*1000000/I34)</f>
        <v/>
      </c>
      <c r="J35" s="48">
        <f>IF(J34=0,0,J17*1000000/J34)</f>
        <v/>
      </c>
      <c r="K35" s="48">
        <f>IF(K34=0,0,K17*1000000/K34)</f>
        <v/>
      </c>
      <c r="L35" s="48">
        <f>IF(L34=0,0,L17*1000000/L34)</f>
        <v/>
      </c>
      <c r="M35" s="48">
        <f>IF(M34=0,0,M17*1000000/M34)</f>
        <v/>
      </c>
    </row>
    <row r="36">
      <c r="A36" s="25" t="inlineStr">
        <is>
          <t>Total fixed payroll (USD)</t>
        </is>
      </c>
      <c r="B36" s="49" t="inlineStr"/>
      <c r="C36" s="49" t="inlineStr"/>
      <c r="D36" s="49" t="inlineStr"/>
      <c r="E36" s="49" t="inlineStr"/>
      <c r="F36" s="49" t="inlineStr"/>
      <c r="G36" s="49" t="inlineStr"/>
      <c r="H36" s="50">
        <f>IF(H13&lt;$F$7,SUMPRODUCT($B$21:$B$33,H21:H33),SUMPRODUCT($C$21:$C$33,H21:H33))</f>
        <v/>
      </c>
      <c r="I36" s="50">
        <f>IF(I13&lt;$F$7,SUMPRODUCT($B$21:$B$33,I21:I33),SUMPRODUCT($C$21:$C$33,I21:I33))</f>
        <v/>
      </c>
      <c r="J36" s="50">
        <f>IF(J13&lt;$F$7,SUMPRODUCT($B$21:$B$33,J21:J33),SUMPRODUCT($C$21:$C$33,J21:J33))</f>
        <v/>
      </c>
      <c r="K36" s="50">
        <f>IF(K13&lt;$F$7,SUMPRODUCT($B$21:$B$33,K21:K33),SUMPRODUCT($C$21:$C$33,K21:K33))</f>
        <v/>
      </c>
      <c r="L36" s="50">
        <f>IF(L13&lt;$F$7,SUMPRODUCT($B$21:$B$33,L21:L33),SUMPRODUCT($C$21:$C$33,L21:L33))</f>
        <v/>
      </c>
      <c r="M36" s="50">
        <f>IF(M13&lt;$F$7,SUMPRODUCT($B$21:$B$33,M21:M33),SUMPRODUCT($C$21:$C$33,M21:M33))</f>
        <v/>
      </c>
    </row>
    <row r="37">
      <c r="A37" s="25" t="inlineStr">
        <is>
          <t>Total headcount</t>
        </is>
      </c>
      <c r="B37" s="49" t="inlineStr"/>
      <c r="C37" s="49" t="inlineStr"/>
      <c r="D37" s="49" t="inlineStr"/>
      <c r="E37" s="49" t="inlineStr"/>
      <c r="F37" s="49" t="inlineStr"/>
      <c r="G37" s="49" t="inlineStr"/>
      <c r="H37" s="51">
        <f>SUM(H21:H33)</f>
        <v/>
      </c>
      <c r="I37" s="51">
        <f>SUM(I21:I33)</f>
        <v/>
      </c>
      <c r="J37" s="51">
        <f>SUM(J21:J33)</f>
        <v/>
      </c>
      <c r="K37" s="51">
        <f>SUM(K21:K33)</f>
        <v/>
      </c>
      <c r="L37" s="51">
        <f>SUM(L21:L33)</f>
        <v/>
      </c>
      <c r="M37" s="51">
        <f>SUM(M21:M33)</f>
        <v/>
      </c>
    </row>
    <row r="40">
      <c r="A40" s="24" t="inlineStr">
        <is>
          <t>4.  Performance payout PER PERSON, by scenario  (absolute USD — grows with AUM)</t>
        </is>
      </c>
    </row>
    <row r="41">
      <c r="A41" s="29" t="inlineStr">
        <is>
          <t>Role</t>
        </is>
      </c>
      <c r="D41" s="30" t="inlineStr">
        <is>
          <t>Weight</t>
        </is>
      </c>
      <c r="H41" s="30" t="inlineStr">
        <is>
          <t>@ $100m</t>
        </is>
      </c>
      <c r="I41" s="30" t="inlineStr">
        <is>
          <t>@ $300m</t>
        </is>
      </c>
      <c r="J41" s="30" t="inlineStr">
        <is>
          <t>@ $500m</t>
        </is>
      </c>
      <c r="K41" s="30" t="inlineStr">
        <is>
          <t>@ $1,000m</t>
        </is>
      </c>
      <c r="L41" s="30" t="inlineStr">
        <is>
          <t>@ $2,000m</t>
        </is>
      </c>
      <c r="M41" s="30" t="inlineStr">
        <is>
          <t>@ $5,000m</t>
        </is>
      </c>
    </row>
    <row r="42">
      <c r="A42" s="37">
        <f>A21</f>
        <v/>
      </c>
      <c r="D42" s="52">
        <f>D21</f>
        <v/>
      </c>
      <c r="H42" s="53">
        <f>$D21*H$35</f>
        <v/>
      </c>
      <c r="I42" s="53">
        <f>$D21*I$35</f>
        <v/>
      </c>
      <c r="J42" s="53">
        <f>$D21*J$35</f>
        <v/>
      </c>
      <c r="K42" s="53">
        <f>$D21*K$35</f>
        <v/>
      </c>
      <c r="L42" s="53">
        <f>$D21*L$35</f>
        <v/>
      </c>
      <c r="M42" s="53">
        <f>$D21*M$35</f>
        <v/>
      </c>
    </row>
    <row r="43">
      <c r="A43" s="32">
        <f>A22</f>
        <v/>
      </c>
      <c r="D43" s="54">
        <f>D22</f>
        <v/>
      </c>
      <c r="H43" s="55">
        <f>$D22*H$35</f>
        <v/>
      </c>
      <c r="I43" s="55">
        <f>$D22*I$35</f>
        <v/>
      </c>
      <c r="J43" s="55">
        <f>$D22*J$35</f>
        <v/>
      </c>
      <c r="K43" s="55">
        <f>$D22*K$35</f>
        <v/>
      </c>
      <c r="L43" s="55">
        <f>$D22*L$35</f>
        <v/>
      </c>
      <c r="M43" s="55">
        <f>$D22*M$35</f>
        <v/>
      </c>
    </row>
    <row r="44">
      <c r="A44" s="37">
        <f>A23</f>
        <v/>
      </c>
      <c r="D44" s="52">
        <f>D23</f>
        <v/>
      </c>
      <c r="H44" s="53">
        <f>$D23*H$35</f>
        <v/>
      </c>
      <c r="I44" s="53">
        <f>$D23*I$35</f>
        <v/>
      </c>
      <c r="J44" s="53">
        <f>$D23*J$35</f>
        <v/>
      </c>
      <c r="K44" s="53">
        <f>$D23*K$35</f>
        <v/>
      </c>
      <c r="L44" s="53">
        <f>$D23*L$35</f>
        <v/>
      </c>
      <c r="M44" s="53">
        <f>$D23*M$35</f>
        <v/>
      </c>
    </row>
    <row r="45">
      <c r="A45" s="32">
        <f>A24</f>
        <v/>
      </c>
      <c r="D45" s="54">
        <f>D24</f>
        <v/>
      </c>
      <c r="H45" s="55">
        <f>$D24*H$35</f>
        <v/>
      </c>
      <c r="I45" s="55">
        <f>$D24*I$35</f>
        <v/>
      </c>
      <c r="J45" s="55">
        <f>$D24*J$35</f>
        <v/>
      </c>
      <c r="K45" s="55">
        <f>$D24*K$35</f>
        <v/>
      </c>
      <c r="L45" s="55">
        <f>$D24*L$35</f>
        <v/>
      </c>
      <c r="M45" s="55">
        <f>$D24*M$35</f>
        <v/>
      </c>
    </row>
    <row r="46">
      <c r="A46" s="37">
        <f>A25</f>
        <v/>
      </c>
      <c r="D46" s="52">
        <f>D25</f>
        <v/>
      </c>
      <c r="H46" s="53">
        <f>$D25*H$35</f>
        <v/>
      </c>
      <c r="I46" s="53">
        <f>$D25*I$35</f>
        <v/>
      </c>
      <c r="J46" s="53">
        <f>$D25*J$35</f>
        <v/>
      </c>
      <c r="K46" s="53">
        <f>$D25*K$35</f>
        <v/>
      </c>
      <c r="L46" s="53">
        <f>$D25*L$35</f>
        <v/>
      </c>
      <c r="M46" s="53">
        <f>$D25*M$35</f>
        <v/>
      </c>
    </row>
    <row r="47">
      <c r="A47" s="32">
        <f>A26</f>
        <v/>
      </c>
      <c r="D47" s="54">
        <f>D26</f>
        <v/>
      </c>
      <c r="H47" s="55">
        <f>$D26*H$35</f>
        <v/>
      </c>
      <c r="I47" s="55">
        <f>$D26*I$35</f>
        <v/>
      </c>
      <c r="J47" s="55">
        <f>$D26*J$35</f>
        <v/>
      </c>
      <c r="K47" s="55">
        <f>$D26*K$35</f>
        <v/>
      </c>
      <c r="L47" s="55">
        <f>$D26*L$35</f>
        <v/>
      </c>
      <c r="M47" s="55">
        <f>$D26*M$35</f>
        <v/>
      </c>
    </row>
    <row r="48">
      <c r="A48" s="37">
        <f>A27</f>
        <v/>
      </c>
      <c r="D48" s="52">
        <f>D27</f>
        <v/>
      </c>
      <c r="H48" s="53">
        <f>$D27*H$35</f>
        <v/>
      </c>
      <c r="I48" s="53">
        <f>$D27*I$35</f>
        <v/>
      </c>
      <c r="J48" s="53">
        <f>$D27*J$35</f>
        <v/>
      </c>
      <c r="K48" s="53">
        <f>$D27*K$35</f>
        <v/>
      </c>
      <c r="L48" s="53">
        <f>$D27*L$35</f>
        <v/>
      </c>
      <c r="M48" s="53">
        <f>$D27*M$35</f>
        <v/>
      </c>
    </row>
    <row r="49">
      <c r="A49" s="32">
        <f>A28</f>
        <v/>
      </c>
      <c r="D49" s="54">
        <f>D28</f>
        <v/>
      </c>
      <c r="H49" s="55">
        <f>$D28*H$35</f>
        <v/>
      </c>
      <c r="I49" s="55">
        <f>$D28*I$35</f>
        <v/>
      </c>
      <c r="J49" s="55">
        <f>$D28*J$35</f>
        <v/>
      </c>
      <c r="K49" s="55">
        <f>$D28*K$35</f>
        <v/>
      </c>
      <c r="L49" s="55">
        <f>$D28*L$35</f>
        <v/>
      </c>
      <c r="M49" s="55">
        <f>$D28*M$35</f>
        <v/>
      </c>
    </row>
    <row r="50">
      <c r="A50" s="37">
        <f>A29</f>
        <v/>
      </c>
      <c r="D50" s="52">
        <f>D29</f>
        <v/>
      </c>
      <c r="H50" s="53">
        <f>$D29*H$35</f>
        <v/>
      </c>
      <c r="I50" s="53">
        <f>$D29*I$35</f>
        <v/>
      </c>
      <c r="J50" s="53">
        <f>$D29*J$35</f>
        <v/>
      </c>
      <c r="K50" s="53">
        <f>$D29*K$35</f>
        <v/>
      </c>
      <c r="L50" s="53">
        <f>$D29*L$35</f>
        <v/>
      </c>
      <c r="M50" s="53">
        <f>$D29*M$35</f>
        <v/>
      </c>
    </row>
    <row r="51">
      <c r="A51" s="32">
        <f>A30</f>
        <v/>
      </c>
      <c r="D51" s="54">
        <f>D30</f>
        <v/>
      </c>
      <c r="H51" s="55">
        <f>$D30*H$35</f>
        <v/>
      </c>
      <c r="I51" s="55">
        <f>$D30*I$35</f>
        <v/>
      </c>
      <c r="J51" s="55">
        <f>$D30*J$35</f>
        <v/>
      </c>
      <c r="K51" s="55">
        <f>$D30*K$35</f>
        <v/>
      </c>
      <c r="L51" s="55">
        <f>$D30*L$35</f>
        <v/>
      </c>
      <c r="M51" s="55">
        <f>$D30*M$35</f>
        <v/>
      </c>
    </row>
    <row r="52">
      <c r="A52" s="37">
        <f>A31</f>
        <v/>
      </c>
      <c r="D52" s="52">
        <f>D31</f>
        <v/>
      </c>
      <c r="H52" s="53">
        <f>$D31*H$35</f>
        <v/>
      </c>
      <c r="I52" s="53">
        <f>$D31*I$35</f>
        <v/>
      </c>
      <c r="J52" s="53">
        <f>$D31*J$35</f>
        <v/>
      </c>
      <c r="K52" s="53">
        <f>$D31*K$35</f>
        <v/>
      </c>
      <c r="L52" s="53">
        <f>$D31*L$35</f>
        <v/>
      </c>
      <c r="M52" s="53">
        <f>$D31*M$35</f>
        <v/>
      </c>
    </row>
    <row r="53">
      <c r="A53" s="32">
        <f>A32</f>
        <v/>
      </c>
      <c r="D53" s="54">
        <f>D32</f>
        <v/>
      </c>
      <c r="H53" s="55">
        <f>$D32*H$35</f>
        <v/>
      </c>
      <c r="I53" s="55">
        <f>$D32*I$35</f>
        <v/>
      </c>
      <c r="J53" s="55">
        <f>$D32*J$35</f>
        <v/>
      </c>
      <c r="K53" s="55">
        <f>$D32*K$35</f>
        <v/>
      </c>
      <c r="L53" s="55">
        <f>$D32*L$35</f>
        <v/>
      </c>
      <c r="M53" s="55">
        <f>$D32*M$35</f>
        <v/>
      </c>
    </row>
    <row r="54">
      <c r="A54" s="37">
        <f>A33</f>
        <v/>
      </c>
      <c r="D54" s="52">
        <f>D33</f>
        <v/>
      </c>
      <c r="H54" s="53">
        <f>$D33*H$35</f>
        <v/>
      </c>
      <c r="I54" s="53">
        <f>$D33*I$35</f>
        <v/>
      </c>
      <c r="J54" s="53">
        <f>$D33*J$35</f>
        <v/>
      </c>
      <c r="K54" s="53">
        <f>$D33*K$35</f>
        <v/>
      </c>
      <c r="L54" s="53">
        <f>$D33*L$35</f>
        <v/>
      </c>
      <c r="M54" s="53">
        <f>$D33*M$35</f>
        <v/>
      </c>
    </row>
    <row r="57">
      <c r="A57" s="24" t="inlineStr">
        <is>
          <t>5.  Each role's SHARE of the performance pool  (% — falls as the firm grows)</t>
        </is>
      </c>
    </row>
    <row r="58">
      <c r="A58" s="29" t="inlineStr">
        <is>
          <t>Role</t>
        </is>
      </c>
      <c r="D58" s="30" t="inlineStr">
        <is>
          <t>Weight</t>
        </is>
      </c>
      <c r="H58" s="30" t="inlineStr">
        <is>
          <t>@ $100m</t>
        </is>
      </c>
      <c r="I58" s="30" t="inlineStr">
        <is>
          <t>@ $300m</t>
        </is>
      </c>
      <c r="J58" s="30" t="inlineStr">
        <is>
          <t>@ $500m</t>
        </is>
      </c>
      <c r="K58" s="30" t="inlineStr">
        <is>
          <t>@ $1,000m</t>
        </is>
      </c>
      <c r="L58" s="30" t="inlineStr">
        <is>
          <t>@ $2,000m</t>
        </is>
      </c>
      <c r="M58" s="30" t="inlineStr">
        <is>
          <t>@ $5,000m</t>
        </is>
      </c>
    </row>
    <row r="59">
      <c r="A59" s="37">
        <f>A21</f>
        <v/>
      </c>
      <c r="D59" s="52">
        <f>D21</f>
        <v/>
      </c>
      <c r="H59" s="33">
        <f>IF(H$34=0,0,H21*$D21/H$34)</f>
        <v/>
      </c>
      <c r="I59" s="33">
        <f>IF(I$34=0,0,I21*$D21/I$34)</f>
        <v/>
      </c>
      <c r="J59" s="33">
        <f>IF(J$34=0,0,J21*$D21/J$34)</f>
        <v/>
      </c>
      <c r="K59" s="33">
        <f>IF(K$34=0,0,K21*$D21/K$34)</f>
        <v/>
      </c>
      <c r="L59" s="33">
        <f>IF(L$34=0,0,L21*$D21/L$34)</f>
        <v/>
      </c>
      <c r="M59" s="33">
        <f>IF(M$34=0,0,M21*$D21/M$34)</f>
        <v/>
      </c>
    </row>
    <row r="60">
      <c r="A60" s="32">
        <f>A22</f>
        <v/>
      </c>
      <c r="D60" s="54">
        <f>D22</f>
        <v/>
      </c>
      <c r="H60" s="56">
        <f>IF(H$34=0,0,H22*$D22/H$34)</f>
        <v/>
      </c>
      <c r="I60" s="56">
        <f>IF(I$34=0,0,I22*$D22/I$34)</f>
        <v/>
      </c>
      <c r="J60" s="56">
        <f>IF(J$34=0,0,J22*$D22/J$34)</f>
        <v/>
      </c>
      <c r="K60" s="56">
        <f>IF(K$34=0,0,K22*$D22/K$34)</f>
        <v/>
      </c>
      <c r="L60" s="56">
        <f>IF(L$34=0,0,L22*$D22/L$34)</f>
        <v/>
      </c>
      <c r="M60" s="56">
        <f>IF(M$34=0,0,M22*$D22/M$34)</f>
        <v/>
      </c>
    </row>
    <row r="61">
      <c r="A61" s="37">
        <f>A23</f>
        <v/>
      </c>
      <c r="D61" s="52">
        <f>D23</f>
        <v/>
      </c>
      <c r="H61" s="33">
        <f>IF(H$34=0,0,H23*$D23/H$34)</f>
        <v/>
      </c>
      <c r="I61" s="33">
        <f>IF(I$34=0,0,I23*$D23/I$34)</f>
        <v/>
      </c>
      <c r="J61" s="33">
        <f>IF(J$34=0,0,J23*$D23/J$34)</f>
        <v/>
      </c>
      <c r="K61" s="33">
        <f>IF(K$34=0,0,K23*$D23/K$34)</f>
        <v/>
      </c>
      <c r="L61" s="33">
        <f>IF(L$34=0,0,L23*$D23/L$34)</f>
        <v/>
      </c>
      <c r="M61" s="33">
        <f>IF(M$34=0,0,M23*$D23/M$34)</f>
        <v/>
      </c>
    </row>
    <row r="62">
      <c r="A62" s="32">
        <f>A24</f>
        <v/>
      </c>
      <c r="D62" s="54">
        <f>D24</f>
        <v/>
      </c>
      <c r="H62" s="56">
        <f>IF(H$34=0,0,H24*$D24/H$34)</f>
        <v/>
      </c>
      <c r="I62" s="56">
        <f>IF(I$34=0,0,I24*$D24/I$34)</f>
        <v/>
      </c>
      <c r="J62" s="56">
        <f>IF(J$34=0,0,J24*$D24/J$34)</f>
        <v/>
      </c>
      <c r="K62" s="56">
        <f>IF(K$34=0,0,K24*$D24/K$34)</f>
        <v/>
      </c>
      <c r="L62" s="56">
        <f>IF(L$34=0,0,L24*$D24/L$34)</f>
        <v/>
      </c>
      <c r="M62" s="56">
        <f>IF(M$34=0,0,M24*$D24/M$34)</f>
        <v/>
      </c>
    </row>
    <row r="63">
      <c r="A63" s="37">
        <f>A25</f>
        <v/>
      </c>
      <c r="D63" s="52">
        <f>D25</f>
        <v/>
      </c>
      <c r="H63" s="33">
        <f>IF(H$34=0,0,H25*$D25/H$34)</f>
        <v/>
      </c>
      <c r="I63" s="33">
        <f>IF(I$34=0,0,I25*$D25/I$34)</f>
        <v/>
      </c>
      <c r="J63" s="33">
        <f>IF(J$34=0,0,J25*$D25/J$34)</f>
        <v/>
      </c>
      <c r="K63" s="33">
        <f>IF(K$34=0,0,K25*$D25/K$34)</f>
        <v/>
      </c>
      <c r="L63" s="33">
        <f>IF(L$34=0,0,L25*$D25/L$34)</f>
        <v/>
      </c>
      <c r="M63" s="33">
        <f>IF(M$34=0,0,M25*$D25/M$34)</f>
        <v/>
      </c>
    </row>
    <row r="64">
      <c r="A64" s="32">
        <f>A26</f>
        <v/>
      </c>
      <c r="D64" s="54">
        <f>D26</f>
        <v/>
      </c>
      <c r="H64" s="56">
        <f>IF(H$34=0,0,H26*$D26/H$34)</f>
        <v/>
      </c>
      <c r="I64" s="56">
        <f>IF(I$34=0,0,I26*$D26/I$34)</f>
        <v/>
      </c>
      <c r="J64" s="56">
        <f>IF(J$34=0,0,J26*$D26/J$34)</f>
        <v/>
      </c>
      <c r="K64" s="56">
        <f>IF(K$34=0,0,K26*$D26/K$34)</f>
        <v/>
      </c>
      <c r="L64" s="56">
        <f>IF(L$34=0,0,L26*$D26/L$34)</f>
        <v/>
      </c>
      <c r="M64" s="56">
        <f>IF(M$34=0,0,M26*$D26/M$34)</f>
        <v/>
      </c>
    </row>
    <row r="65">
      <c r="A65" s="37">
        <f>A27</f>
        <v/>
      </c>
      <c r="D65" s="52">
        <f>D27</f>
        <v/>
      </c>
      <c r="H65" s="33">
        <f>IF(H$34=0,0,H27*$D27/H$34)</f>
        <v/>
      </c>
      <c r="I65" s="33">
        <f>IF(I$34=0,0,I27*$D27/I$34)</f>
        <v/>
      </c>
      <c r="J65" s="33">
        <f>IF(J$34=0,0,J27*$D27/J$34)</f>
        <v/>
      </c>
      <c r="K65" s="33">
        <f>IF(K$34=0,0,K27*$D27/K$34)</f>
        <v/>
      </c>
      <c r="L65" s="33">
        <f>IF(L$34=0,0,L27*$D27/L$34)</f>
        <v/>
      </c>
      <c r="M65" s="33">
        <f>IF(M$34=0,0,M27*$D27/M$34)</f>
        <v/>
      </c>
    </row>
    <row r="66">
      <c r="A66" s="32">
        <f>A28</f>
        <v/>
      </c>
      <c r="D66" s="54">
        <f>D28</f>
        <v/>
      </c>
      <c r="H66" s="56">
        <f>IF(H$34=0,0,H28*$D28/H$34)</f>
        <v/>
      </c>
      <c r="I66" s="56">
        <f>IF(I$34=0,0,I28*$D28/I$34)</f>
        <v/>
      </c>
      <c r="J66" s="56">
        <f>IF(J$34=0,0,J28*$D28/J$34)</f>
        <v/>
      </c>
      <c r="K66" s="56">
        <f>IF(K$34=0,0,K28*$D28/K$34)</f>
        <v/>
      </c>
      <c r="L66" s="56">
        <f>IF(L$34=0,0,L28*$D28/L$34)</f>
        <v/>
      </c>
      <c r="M66" s="56">
        <f>IF(M$34=0,0,M28*$D28/M$34)</f>
        <v/>
      </c>
    </row>
    <row r="67">
      <c r="A67" s="37">
        <f>A29</f>
        <v/>
      </c>
      <c r="D67" s="52">
        <f>D29</f>
        <v/>
      </c>
      <c r="H67" s="33">
        <f>IF(H$34=0,0,H29*$D29/H$34)</f>
        <v/>
      </c>
      <c r="I67" s="33">
        <f>IF(I$34=0,0,I29*$D29/I$34)</f>
        <v/>
      </c>
      <c r="J67" s="33">
        <f>IF(J$34=0,0,J29*$D29/J$34)</f>
        <v/>
      </c>
      <c r="K67" s="33">
        <f>IF(K$34=0,0,K29*$D29/K$34)</f>
        <v/>
      </c>
      <c r="L67" s="33">
        <f>IF(L$34=0,0,L29*$D29/L$34)</f>
        <v/>
      </c>
      <c r="M67" s="33">
        <f>IF(M$34=0,0,M29*$D29/M$34)</f>
        <v/>
      </c>
    </row>
    <row r="68">
      <c r="A68" s="32">
        <f>A30</f>
        <v/>
      </c>
      <c r="D68" s="54">
        <f>D30</f>
        <v/>
      </c>
      <c r="H68" s="56">
        <f>IF(H$34=0,0,H30*$D30/H$34)</f>
        <v/>
      </c>
      <c r="I68" s="56">
        <f>IF(I$34=0,0,I30*$D30/I$34)</f>
        <v/>
      </c>
      <c r="J68" s="56">
        <f>IF(J$34=0,0,J30*$D30/J$34)</f>
        <v/>
      </c>
      <c r="K68" s="56">
        <f>IF(K$34=0,0,K30*$D30/K$34)</f>
        <v/>
      </c>
      <c r="L68" s="56">
        <f>IF(L$34=0,0,L30*$D30/L$34)</f>
        <v/>
      </c>
      <c r="M68" s="56">
        <f>IF(M$34=0,0,M30*$D30/M$34)</f>
        <v/>
      </c>
    </row>
    <row r="69">
      <c r="A69" s="37">
        <f>A31</f>
        <v/>
      </c>
      <c r="D69" s="52">
        <f>D31</f>
        <v/>
      </c>
      <c r="H69" s="33">
        <f>IF(H$34=0,0,H31*$D31/H$34)</f>
        <v/>
      </c>
      <c r="I69" s="33">
        <f>IF(I$34=0,0,I31*$D31/I$34)</f>
        <v/>
      </c>
      <c r="J69" s="33">
        <f>IF(J$34=0,0,J31*$D31/J$34)</f>
        <v/>
      </c>
      <c r="K69" s="33">
        <f>IF(K$34=0,0,K31*$D31/K$34)</f>
        <v/>
      </c>
      <c r="L69" s="33">
        <f>IF(L$34=0,0,L31*$D31/L$34)</f>
        <v/>
      </c>
      <c r="M69" s="33">
        <f>IF(M$34=0,0,M31*$D31/M$34)</f>
        <v/>
      </c>
    </row>
    <row r="70">
      <c r="A70" s="32">
        <f>A32</f>
        <v/>
      </c>
      <c r="D70" s="54">
        <f>D32</f>
        <v/>
      </c>
      <c r="H70" s="56">
        <f>IF(H$34=0,0,H32*$D32/H$34)</f>
        <v/>
      </c>
      <c r="I70" s="56">
        <f>IF(I$34=0,0,I32*$D32/I$34)</f>
        <v/>
      </c>
      <c r="J70" s="56">
        <f>IF(J$34=0,0,J32*$D32/J$34)</f>
        <v/>
      </c>
      <c r="K70" s="56">
        <f>IF(K$34=0,0,K32*$D32/K$34)</f>
        <v/>
      </c>
      <c r="L70" s="56">
        <f>IF(L$34=0,0,L32*$D32/L$34)</f>
        <v/>
      </c>
      <c r="M70" s="56">
        <f>IF(M$34=0,0,M32*$D32/M$34)</f>
        <v/>
      </c>
    </row>
    <row r="71">
      <c r="A71" s="37">
        <f>A33</f>
        <v/>
      </c>
      <c r="D71" s="52">
        <f>D33</f>
        <v/>
      </c>
      <c r="H71" s="33">
        <f>IF(H$34=0,0,H33*$D33/H$34)</f>
        <v/>
      </c>
      <c r="I71" s="33">
        <f>IF(I$34=0,0,I33*$D33/I$34)</f>
        <v/>
      </c>
      <c r="J71" s="33">
        <f>IF(J$34=0,0,J33*$D33/J$34)</f>
        <v/>
      </c>
      <c r="K71" s="33">
        <f>IF(K$34=0,0,K33*$D33/K$34)</f>
        <v/>
      </c>
      <c r="L71" s="33">
        <f>IF(L$34=0,0,L33*$D33/L$34)</f>
        <v/>
      </c>
      <c r="M71" s="33">
        <f>IF(M$34=0,0,M33*$D33/M$34)</f>
        <v/>
      </c>
    </row>
    <row r="74">
      <c r="A74" s="24" t="inlineStr">
        <is>
          <t>6.  Total annual comp PER PERSON  (fixed salary + performance payout)</t>
        </is>
      </c>
    </row>
    <row r="75">
      <c r="A75" s="29" t="inlineStr">
        <is>
          <t>Role</t>
        </is>
      </c>
      <c r="D75" s="30" t="inlineStr">
        <is>
          <t>Weight</t>
        </is>
      </c>
      <c r="H75" s="30" t="inlineStr">
        <is>
          <t>@ $100m</t>
        </is>
      </c>
      <c r="I75" s="30" t="inlineStr">
        <is>
          <t>@ $300m</t>
        </is>
      </c>
      <c r="J75" s="30" t="inlineStr">
        <is>
          <t>@ $500m</t>
        </is>
      </c>
      <c r="K75" s="30" t="inlineStr">
        <is>
          <t>@ $1,000m</t>
        </is>
      </c>
      <c r="L75" s="30" t="inlineStr">
        <is>
          <t>@ $2,000m</t>
        </is>
      </c>
      <c r="M75" s="30" t="inlineStr">
        <is>
          <t>@ $5,000m</t>
        </is>
      </c>
    </row>
    <row r="76">
      <c r="A76" s="37">
        <f>A21</f>
        <v/>
      </c>
      <c r="D76" s="52">
        <f>D21</f>
        <v/>
      </c>
      <c r="H76" s="53">
        <f>IF(H$13&lt;$F$7,$B21,$C21)+$D21*H$35</f>
        <v/>
      </c>
      <c r="I76" s="53">
        <f>IF(I$13&lt;$F$7,$B21,$C21)+$D21*I$35</f>
        <v/>
      </c>
      <c r="J76" s="53">
        <f>IF(J$13&lt;$F$7,$B21,$C21)+$D21*J$35</f>
        <v/>
      </c>
      <c r="K76" s="53">
        <f>IF(K$13&lt;$F$7,$B21,$C21)+$D21*K$35</f>
        <v/>
      </c>
      <c r="L76" s="53">
        <f>IF(L$13&lt;$F$7,$B21,$C21)+$D21*L$35</f>
        <v/>
      </c>
      <c r="M76" s="53">
        <f>IF(M$13&lt;$F$7,$B21,$C21)+$D21*M$35</f>
        <v/>
      </c>
    </row>
    <row r="77">
      <c r="A77" s="32">
        <f>A22</f>
        <v/>
      </c>
      <c r="D77" s="54">
        <f>D22</f>
        <v/>
      </c>
      <c r="H77" s="55">
        <f>IF(H$13&lt;$F$7,$B22,$C22)+$D22*H$35</f>
        <v/>
      </c>
      <c r="I77" s="55">
        <f>IF(I$13&lt;$F$7,$B22,$C22)+$D22*I$35</f>
        <v/>
      </c>
      <c r="J77" s="55">
        <f>IF(J$13&lt;$F$7,$B22,$C22)+$D22*J$35</f>
        <v/>
      </c>
      <c r="K77" s="55">
        <f>IF(K$13&lt;$F$7,$B22,$C22)+$D22*K$35</f>
        <v/>
      </c>
      <c r="L77" s="55">
        <f>IF(L$13&lt;$F$7,$B22,$C22)+$D22*L$35</f>
        <v/>
      </c>
      <c r="M77" s="55">
        <f>IF(M$13&lt;$F$7,$B22,$C22)+$D22*M$35</f>
        <v/>
      </c>
    </row>
    <row r="78">
      <c r="A78" s="37">
        <f>A23</f>
        <v/>
      </c>
      <c r="D78" s="52">
        <f>D23</f>
        <v/>
      </c>
      <c r="H78" s="53">
        <f>IF(H$13&lt;$F$7,$B23,$C23)+$D23*H$35</f>
        <v/>
      </c>
      <c r="I78" s="53">
        <f>IF(I$13&lt;$F$7,$B23,$C23)+$D23*I$35</f>
        <v/>
      </c>
      <c r="J78" s="53">
        <f>IF(J$13&lt;$F$7,$B23,$C23)+$D23*J$35</f>
        <v/>
      </c>
      <c r="K78" s="53">
        <f>IF(K$13&lt;$F$7,$B23,$C23)+$D23*K$35</f>
        <v/>
      </c>
      <c r="L78" s="53">
        <f>IF(L$13&lt;$F$7,$B23,$C23)+$D23*L$35</f>
        <v/>
      </c>
      <c r="M78" s="53">
        <f>IF(M$13&lt;$F$7,$B23,$C23)+$D23*M$35</f>
        <v/>
      </c>
    </row>
    <row r="79">
      <c r="A79" s="32">
        <f>A24</f>
        <v/>
      </c>
      <c r="D79" s="54">
        <f>D24</f>
        <v/>
      </c>
      <c r="H79" s="55">
        <f>IF(H$13&lt;$F$7,$B24,$C24)+$D24*H$35</f>
        <v/>
      </c>
      <c r="I79" s="55">
        <f>IF(I$13&lt;$F$7,$B24,$C24)+$D24*I$35</f>
        <v/>
      </c>
      <c r="J79" s="55">
        <f>IF(J$13&lt;$F$7,$B24,$C24)+$D24*J$35</f>
        <v/>
      </c>
      <c r="K79" s="55">
        <f>IF(K$13&lt;$F$7,$B24,$C24)+$D24*K$35</f>
        <v/>
      </c>
      <c r="L79" s="55">
        <f>IF(L$13&lt;$F$7,$B24,$C24)+$D24*L$35</f>
        <v/>
      </c>
      <c r="M79" s="55">
        <f>IF(M$13&lt;$F$7,$B24,$C24)+$D24*M$35</f>
        <v/>
      </c>
    </row>
    <row r="80">
      <c r="A80" s="37">
        <f>A25</f>
        <v/>
      </c>
      <c r="D80" s="52">
        <f>D25</f>
        <v/>
      </c>
      <c r="H80" s="53">
        <f>IF(H$13&lt;$F$7,$B25,$C25)+$D25*H$35</f>
        <v/>
      </c>
      <c r="I80" s="53">
        <f>IF(I$13&lt;$F$7,$B25,$C25)+$D25*I$35</f>
        <v/>
      </c>
      <c r="J80" s="53">
        <f>IF(J$13&lt;$F$7,$B25,$C25)+$D25*J$35</f>
        <v/>
      </c>
      <c r="K80" s="53">
        <f>IF(K$13&lt;$F$7,$B25,$C25)+$D25*K$35</f>
        <v/>
      </c>
      <c r="L80" s="53">
        <f>IF(L$13&lt;$F$7,$B25,$C25)+$D25*L$35</f>
        <v/>
      </c>
      <c r="M80" s="53">
        <f>IF(M$13&lt;$F$7,$B25,$C25)+$D25*M$35</f>
        <v/>
      </c>
    </row>
    <row r="81">
      <c r="A81" s="32">
        <f>A26</f>
        <v/>
      </c>
      <c r="D81" s="54">
        <f>D26</f>
        <v/>
      </c>
      <c r="H81" s="55">
        <f>IF(H$13&lt;$F$7,$B26,$C26)+$D26*H$35</f>
        <v/>
      </c>
      <c r="I81" s="55">
        <f>IF(I$13&lt;$F$7,$B26,$C26)+$D26*I$35</f>
        <v/>
      </c>
      <c r="J81" s="55">
        <f>IF(J$13&lt;$F$7,$B26,$C26)+$D26*J$35</f>
        <v/>
      </c>
      <c r="K81" s="55">
        <f>IF(K$13&lt;$F$7,$B26,$C26)+$D26*K$35</f>
        <v/>
      </c>
      <c r="L81" s="55">
        <f>IF(L$13&lt;$F$7,$B26,$C26)+$D26*L$35</f>
        <v/>
      </c>
      <c r="M81" s="55">
        <f>IF(M$13&lt;$F$7,$B26,$C26)+$D26*M$35</f>
        <v/>
      </c>
    </row>
    <row r="82">
      <c r="A82" s="37">
        <f>A27</f>
        <v/>
      </c>
      <c r="D82" s="52">
        <f>D27</f>
        <v/>
      </c>
      <c r="H82" s="53">
        <f>IF(H$13&lt;$F$7,$B27,$C27)+$D27*H$35</f>
        <v/>
      </c>
      <c r="I82" s="53">
        <f>IF(I$13&lt;$F$7,$B27,$C27)+$D27*I$35</f>
        <v/>
      </c>
      <c r="J82" s="53">
        <f>IF(J$13&lt;$F$7,$B27,$C27)+$D27*J$35</f>
        <v/>
      </c>
      <c r="K82" s="53">
        <f>IF(K$13&lt;$F$7,$B27,$C27)+$D27*K$35</f>
        <v/>
      </c>
      <c r="L82" s="53">
        <f>IF(L$13&lt;$F$7,$B27,$C27)+$D27*L$35</f>
        <v/>
      </c>
      <c r="M82" s="53">
        <f>IF(M$13&lt;$F$7,$B27,$C27)+$D27*M$35</f>
        <v/>
      </c>
    </row>
    <row r="83">
      <c r="A83" s="32">
        <f>A28</f>
        <v/>
      </c>
      <c r="D83" s="54">
        <f>D28</f>
        <v/>
      </c>
      <c r="H83" s="55">
        <f>IF(H$13&lt;$F$7,$B28,$C28)+$D28*H$35</f>
        <v/>
      </c>
      <c r="I83" s="55">
        <f>IF(I$13&lt;$F$7,$B28,$C28)+$D28*I$35</f>
        <v/>
      </c>
      <c r="J83" s="55">
        <f>IF(J$13&lt;$F$7,$B28,$C28)+$D28*J$35</f>
        <v/>
      </c>
      <c r="K83" s="55">
        <f>IF(K$13&lt;$F$7,$B28,$C28)+$D28*K$35</f>
        <v/>
      </c>
      <c r="L83" s="55">
        <f>IF(L$13&lt;$F$7,$B28,$C28)+$D28*L$35</f>
        <v/>
      </c>
      <c r="M83" s="55">
        <f>IF(M$13&lt;$F$7,$B28,$C28)+$D28*M$35</f>
        <v/>
      </c>
    </row>
    <row r="84">
      <c r="A84" s="37">
        <f>A29</f>
        <v/>
      </c>
      <c r="D84" s="52">
        <f>D29</f>
        <v/>
      </c>
      <c r="H84" s="53">
        <f>IF(H$13&lt;$F$7,$B29,$C29)+$D29*H$35</f>
        <v/>
      </c>
      <c r="I84" s="53">
        <f>IF(I$13&lt;$F$7,$B29,$C29)+$D29*I$35</f>
        <v/>
      </c>
      <c r="J84" s="53">
        <f>IF(J$13&lt;$F$7,$B29,$C29)+$D29*J$35</f>
        <v/>
      </c>
      <c r="K84" s="53">
        <f>IF(K$13&lt;$F$7,$B29,$C29)+$D29*K$35</f>
        <v/>
      </c>
      <c r="L84" s="53">
        <f>IF(L$13&lt;$F$7,$B29,$C29)+$D29*L$35</f>
        <v/>
      </c>
      <c r="M84" s="53">
        <f>IF(M$13&lt;$F$7,$B29,$C29)+$D29*M$35</f>
        <v/>
      </c>
    </row>
    <row r="85">
      <c r="A85" s="32">
        <f>A30</f>
        <v/>
      </c>
      <c r="D85" s="54">
        <f>D30</f>
        <v/>
      </c>
      <c r="H85" s="55">
        <f>IF(H$13&lt;$F$7,$B30,$C30)+$D30*H$35</f>
        <v/>
      </c>
      <c r="I85" s="55">
        <f>IF(I$13&lt;$F$7,$B30,$C30)+$D30*I$35</f>
        <v/>
      </c>
      <c r="J85" s="55">
        <f>IF(J$13&lt;$F$7,$B30,$C30)+$D30*J$35</f>
        <v/>
      </c>
      <c r="K85" s="55">
        <f>IF(K$13&lt;$F$7,$B30,$C30)+$D30*K$35</f>
        <v/>
      </c>
      <c r="L85" s="55">
        <f>IF(L$13&lt;$F$7,$B30,$C30)+$D30*L$35</f>
        <v/>
      </c>
      <c r="M85" s="55">
        <f>IF(M$13&lt;$F$7,$B30,$C30)+$D30*M$35</f>
        <v/>
      </c>
    </row>
    <row r="86">
      <c r="A86" s="37">
        <f>A31</f>
        <v/>
      </c>
      <c r="D86" s="52">
        <f>D31</f>
        <v/>
      </c>
      <c r="H86" s="53">
        <f>IF(H$13&lt;$F$7,$B31,$C31)+$D31*H$35</f>
        <v/>
      </c>
      <c r="I86" s="53">
        <f>IF(I$13&lt;$F$7,$B31,$C31)+$D31*I$35</f>
        <v/>
      </c>
      <c r="J86" s="53">
        <f>IF(J$13&lt;$F$7,$B31,$C31)+$D31*J$35</f>
        <v/>
      </c>
      <c r="K86" s="53">
        <f>IF(K$13&lt;$F$7,$B31,$C31)+$D31*K$35</f>
        <v/>
      </c>
      <c r="L86" s="53">
        <f>IF(L$13&lt;$F$7,$B31,$C31)+$D31*L$35</f>
        <v/>
      </c>
      <c r="M86" s="53">
        <f>IF(M$13&lt;$F$7,$B31,$C31)+$D31*M$35</f>
        <v/>
      </c>
    </row>
    <row r="87">
      <c r="A87" s="32">
        <f>A32</f>
        <v/>
      </c>
      <c r="D87" s="54">
        <f>D32</f>
        <v/>
      </c>
      <c r="H87" s="55">
        <f>IF(H$13&lt;$F$7,$B32,$C32)+$D32*H$35</f>
        <v/>
      </c>
      <c r="I87" s="55">
        <f>IF(I$13&lt;$F$7,$B32,$C32)+$D32*I$35</f>
        <v/>
      </c>
      <c r="J87" s="55">
        <f>IF(J$13&lt;$F$7,$B32,$C32)+$D32*J$35</f>
        <v/>
      </c>
      <c r="K87" s="55">
        <f>IF(K$13&lt;$F$7,$B32,$C32)+$D32*K$35</f>
        <v/>
      </c>
      <c r="L87" s="55">
        <f>IF(L$13&lt;$F$7,$B32,$C32)+$D32*L$35</f>
        <v/>
      </c>
      <c r="M87" s="55">
        <f>IF(M$13&lt;$F$7,$B32,$C32)+$D32*M$35</f>
        <v/>
      </c>
    </row>
    <row r="88">
      <c r="A88" s="37">
        <f>A33</f>
        <v/>
      </c>
      <c r="D88" s="52">
        <f>D33</f>
        <v/>
      </c>
      <c r="H88" s="53">
        <f>IF(H$13&lt;$F$7,$B33,$C33)+$D33*H$35</f>
        <v/>
      </c>
      <c r="I88" s="53">
        <f>IF(I$13&lt;$F$7,$B33,$C33)+$D33*I$35</f>
        <v/>
      </c>
      <c r="J88" s="53">
        <f>IF(J$13&lt;$F$7,$B33,$C33)+$D33*J$35</f>
        <v/>
      </c>
      <c r="K88" s="53">
        <f>IF(K$13&lt;$F$7,$B33,$C33)+$D33*K$35</f>
        <v/>
      </c>
      <c r="L88" s="53">
        <f>IF(L$13&lt;$F$7,$B33,$C33)+$D33*L$35</f>
        <v/>
      </c>
      <c r="M88" s="53">
        <f>IF(M$13&lt;$F$7,$B33,$C33)+$D33*M$35</f>
        <v/>
      </c>
    </row>
    <row r="91">
      <c r="A91" s="24" t="inlineStr">
        <is>
          <t>How the framework works</t>
        </is>
      </c>
    </row>
    <row r="92" ht="26" customHeight="1">
      <c r="A92" s="57" t="inlineStr">
        <is>
          <t>•  Performance fee = AUM × gross return × fee rate (20%). The firm keeps 40%; the remaining 60% (take rate) becomes the comp pool.</t>
        </is>
      </c>
    </row>
    <row r="93" ht="26" customHeight="1">
      <c r="A93" s="58" t="inlineStr">
        <is>
          <t>•  Every role is assigned a 'performance weight' per person. One weight = one performance unit — one share of the pool.</t>
        </is>
      </c>
    </row>
    <row r="94" ht="26" customHeight="1">
      <c r="A94" s="57" t="inlineStr">
        <is>
          <t>•  Total performance units = Σ (weight × headcount). USD per unit = comp pool ÷ total units.</t>
        </is>
      </c>
    </row>
    <row r="95" ht="26" customHeight="1">
      <c r="A95" s="58" t="inlineStr">
        <is>
          <t>•  A person's performance payout = their role weight × USD-per-unit. A role's pool share % = (headcount × weight) ÷ total units.</t>
        </is>
      </c>
    </row>
    <row r="96" ht="26" customHeight="1">
      <c r="A96" s="57" t="inlineStr">
        <is>
          <t>•  As the firm hires, total units rise, so each role's % share DROPS — but the pool grows with AUM, so the absolute USD per person RISES (see tables 4 vs 5).</t>
        </is>
      </c>
    </row>
    <row r="97" ht="26" customHeight="1">
      <c r="A97" s="58" t="inlineStr">
        <is>
          <t>•  Fixed salary steps from the '&lt; $300m' column to the '≥ $300m' column once scenario AUM crosses the threshold in F7.</t>
        </is>
      </c>
    </row>
    <row r="98" ht="26" customHeight="1">
      <c r="A98" s="57" t="inlineStr">
        <is>
          <t>•  Red/gold cells are inputs — edit roles, salaries, weights and headcounts freely; every total recalculates automatically.</t>
        </is>
      </c>
    </row>
  </sheetData>
  <mergeCells count="13">
    <mergeCell ref="A98:M98"/>
    <mergeCell ref="A1:M1"/>
    <mergeCell ref="A94:M94"/>
    <mergeCell ref="A93:M93"/>
    <mergeCell ref="A7:E7"/>
    <mergeCell ref="A97:M97"/>
    <mergeCell ref="A95:M95"/>
    <mergeCell ref="A92:M92"/>
    <mergeCell ref="A5:E5"/>
    <mergeCell ref="A8:E8"/>
    <mergeCell ref="A6:E6"/>
    <mergeCell ref="A96:M96"/>
    <mergeCell ref="A2:M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61" t="inlineStr">
        <is>
          <t>Each role's share of the take (comp pool) as AUM grows $100m → $2bn</t>
        </is>
      </c>
    </row>
    <row r="2">
      <c r="A2" s="62" t="inlineStr">
        <is>
          <t>Share = role weight × headcount ÷ total weighted units. Headcount interpolated across the AUM scenarios. Columns sum to 100%.</t>
        </is>
      </c>
    </row>
    <row r="4">
      <c r="A4" s="72" t="inlineStr">
        <is>
          <t>AUM (USD m) →</t>
        </is>
      </c>
      <c r="B4" s="74" t="n">
        <v>100</v>
      </c>
      <c r="C4" s="74" t="n">
        <v>200</v>
      </c>
      <c r="D4" s="74" t="n">
        <v>300</v>
      </c>
      <c r="E4" s="74" t="n">
        <v>400</v>
      </c>
      <c r="F4" s="74" t="n">
        <v>500</v>
      </c>
      <c r="G4" s="74" t="n">
        <v>600</v>
      </c>
      <c r="H4" s="74" t="n">
        <v>700</v>
      </c>
      <c r="I4" s="74" t="n">
        <v>800</v>
      </c>
      <c r="J4" s="74" t="n">
        <v>900</v>
      </c>
      <c r="K4" s="74" t="n">
        <v>1000</v>
      </c>
      <c r="L4" s="74" t="n">
        <v>1100</v>
      </c>
      <c r="M4" s="74" t="n">
        <v>1200</v>
      </c>
      <c r="N4" s="74" t="n">
        <v>1300</v>
      </c>
      <c r="O4" s="74" t="n">
        <v>1400</v>
      </c>
      <c r="P4" s="74" t="n">
        <v>1500</v>
      </c>
      <c r="Q4" s="74" t="n">
        <v>1600</v>
      </c>
      <c r="R4" s="74" t="n">
        <v>1700</v>
      </c>
      <c r="S4" s="74" t="n">
        <v>1800</v>
      </c>
      <c r="T4" s="74" t="n">
        <v>1900</v>
      </c>
      <c r="U4" s="74" t="n">
        <v>2000</v>
      </c>
    </row>
    <row r="5">
      <c r="A5" s="68" t="inlineStr">
        <is>
          <t>Managing Partner / CIO</t>
        </is>
      </c>
      <c r="B5" s="69" t="n">
        <v>0.4716981132075472</v>
      </c>
      <c r="C5" s="69" t="n">
        <v>0.3745318352059925</v>
      </c>
      <c r="D5" s="69" t="n">
        <v>0.3105590062111801</v>
      </c>
      <c r="E5" s="69" t="n">
        <v>0.2604166666666667</v>
      </c>
      <c r="F5" s="69" t="n">
        <v>0.2242152466367713</v>
      </c>
      <c r="G5" s="69" t="n">
        <v>0.2152389151958674</v>
      </c>
      <c r="H5" s="69" t="n">
        <v>0.206953642384106</v>
      </c>
      <c r="I5" s="69" t="n">
        <v>0.1992825827022718</v>
      </c>
      <c r="J5" s="69" t="n">
        <v>0.1921598770176787</v>
      </c>
      <c r="K5" s="69" t="n">
        <v>0.1855287569573284</v>
      </c>
      <c r="L5" s="69" t="n">
        <v>0.1803426510369703</v>
      </c>
      <c r="M5" s="69" t="n">
        <v>0.1754385964912281</v>
      </c>
      <c r="N5" s="69" t="n">
        <v>0.1707941929974381</v>
      </c>
      <c r="O5" s="69" t="n">
        <v>0.1663893510815308</v>
      </c>
      <c r="P5" s="69" t="n">
        <v>0.16220600162206</v>
      </c>
      <c r="Q5" s="69" t="n">
        <v>0.1582278481012658</v>
      </c>
      <c r="R5" s="69" t="n">
        <v>0.1544401544401544</v>
      </c>
      <c r="S5" s="69" t="n">
        <v>0.1508295625942685</v>
      </c>
      <c r="T5" s="69" t="n">
        <v>0.1473839351510685</v>
      </c>
      <c r="U5" s="69" t="n">
        <v>0.1440922190201729</v>
      </c>
    </row>
    <row r="6">
      <c r="A6" s="70" t="inlineStr">
        <is>
          <t>Partner / Co-PM</t>
        </is>
      </c>
      <c r="B6" s="71" t="n">
        <v>0.2830188679245283</v>
      </c>
      <c r="C6" s="71" t="n">
        <v>0.2247191011235955</v>
      </c>
      <c r="D6" s="71" t="n">
        <v>0.1863354037267081</v>
      </c>
      <c r="E6" s="71" t="n">
        <v>0.234375</v>
      </c>
      <c r="F6" s="71" t="n">
        <v>0.2690582959641256</v>
      </c>
      <c r="G6" s="71" t="n">
        <v>0.2582866982350409</v>
      </c>
      <c r="H6" s="71" t="n">
        <v>0.2483443708609272</v>
      </c>
      <c r="I6" s="71" t="n">
        <v>0.2391390992427262</v>
      </c>
      <c r="J6" s="71" t="n">
        <v>0.2305918524212144</v>
      </c>
      <c r="K6" s="71" t="n">
        <v>0.2226345083487941</v>
      </c>
      <c r="L6" s="71" t="n">
        <v>0.2272317403065825</v>
      </c>
      <c r="M6" s="71" t="n">
        <v>0.2315789473684211</v>
      </c>
      <c r="N6" s="71" t="n">
        <v>0.2356959863364645</v>
      </c>
      <c r="O6" s="71" t="n">
        <v>0.2396006655574043</v>
      </c>
      <c r="P6" s="71" t="n">
        <v>0.24330900243309</v>
      </c>
      <c r="Q6" s="71" t="n">
        <v>0.2468354430379747</v>
      </c>
      <c r="R6" s="71" t="n">
        <v>0.2501930501930502</v>
      </c>
      <c r="S6" s="71" t="n">
        <v>0.253393665158371</v>
      </c>
      <c r="T6" s="71" t="n">
        <v>0.2564480471628592</v>
      </c>
      <c r="U6" s="71" t="n">
        <v>0.2593659942363112</v>
      </c>
    </row>
    <row r="7">
      <c r="A7" s="68" t="inlineStr">
        <is>
          <t>Portfolio Manager</t>
        </is>
      </c>
      <c r="B7" s="69" t="n">
        <v>0</v>
      </c>
      <c r="C7" s="69" t="n">
        <v>0.0749063670411985</v>
      </c>
      <c r="D7" s="69" t="n">
        <v>0.124223602484472</v>
      </c>
      <c r="E7" s="69" t="n">
        <v>0.1041666666666667</v>
      </c>
      <c r="F7" s="69" t="n">
        <v>0.08968609865470852</v>
      </c>
      <c r="G7" s="69" t="n">
        <v>0.1033146792940164</v>
      </c>
      <c r="H7" s="69" t="n">
        <v>0.1158940397350993</v>
      </c>
      <c r="I7" s="69" t="n">
        <v>0.127540852929454</v>
      </c>
      <c r="J7" s="69" t="n">
        <v>0.1383551114527286</v>
      </c>
      <c r="K7" s="69" t="n">
        <v>0.1484230055658627</v>
      </c>
      <c r="L7" s="69" t="n">
        <v>0.151487826871055</v>
      </c>
      <c r="M7" s="69" t="n">
        <v>0.1543859649122807</v>
      </c>
      <c r="N7" s="69" t="n">
        <v>0.157130657557643</v>
      </c>
      <c r="O7" s="69" t="n">
        <v>0.1597337770382695</v>
      </c>
      <c r="P7" s="69" t="n">
        <v>0.16220600162206</v>
      </c>
      <c r="Q7" s="69" t="n">
        <v>0.1645569620253164</v>
      </c>
      <c r="R7" s="69" t="n">
        <v>0.1667953667953668</v>
      </c>
      <c r="S7" s="69" t="n">
        <v>0.1689291101055807</v>
      </c>
      <c r="T7" s="69" t="n">
        <v>0.1709653647752395</v>
      </c>
      <c r="U7" s="69" t="n">
        <v>0.1729106628242075</v>
      </c>
    </row>
    <row r="8">
      <c r="A8" s="70" t="inlineStr">
        <is>
          <t>Head of Research</t>
        </is>
      </c>
      <c r="B8" s="71" t="n">
        <v>0</v>
      </c>
      <c r="C8" s="71" t="n">
        <v>0.05617977528089887</v>
      </c>
      <c r="D8" s="71" t="n">
        <v>0.09316770186335403</v>
      </c>
      <c r="E8" s="71" t="n">
        <v>0.078125</v>
      </c>
      <c r="F8" s="71" t="n">
        <v>0.06726457399103139</v>
      </c>
      <c r="G8" s="71" t="n">
        <v>0.06457167455876023</v>
      </c>
      <c r="H8" s="71" t="n">
        <v>0.06208609271523179</v>
      </c>
      <c r="I8" s="71" t="n">
        <v>0.05978477481068155</v>
      </c>
      <c r="J8" s="71" t="n">
        <v>0.0576479631053036</v>
      </c>
      <c r="K8" s="71" t="n">
        <v>0.05565862708719851</v>
      </c>
      <c r="L8" s="71" t="n">
        <v>0.05410279531109107</v>
      </c>
      <c r="M8" s="71" t="n">
        <v>0.05263157894736842</v>
      </c>
      <c r="N8" s="71" t="n">
        <v>0.05123825789923143</v>
      </c>
      <c r="O8" s="71" t="n">
        <v>0.04991680532445923</v>
      </c>
      <c r="P8" s="71" t="n">
        <v>0.04866180048661801</v>
      </c>
      <c r="Q8" s="71" t="n">
        <v>0.04746835443037975</v>
      </c>
      <c r="R8" s="71" t="n">
        <v>0.04633204633204633</v>
      </c>
      <c r="S8" s="71" t="n">
        <v>0.04524886877828054</v>
      </c>
      <c r="T8" s="71" t="n">
        <v>0.04421518054532056</v>
      </c>
      <c r="U8" s="71" t="n">
        <v>0.04322766570605188</v>
      </c>
    </row>
    <row r="9">
      <c r="A9" s="68" t="inlineStr">
        <is>
          <t>Senior Analyst</t>
        </is>
      </c>
      <c r="B9" s="69" t="n">
        <v>0.09433962264150944</v>
      </c>
      <c r="C9" s="69" t="n">
        <v>0.0749063670411985</v>
      </c>
      <c r="D9" s="69" t="n">
        <v>0.06211180124223602</v>
      </c>
      <c r="E9" s="69" t="n">
        <v>0.078125</v>
      </c>
      <c r="F9" s="69" t="n">
        <v>0.08968609865470852</v>
      </c>
      <c r="G9" s="69" t="n">
        <v>0.09470512268618167</v>
      </c>
      <c r="H9" s="69" t="n">
        <v>0.09933774834437087</v>
      </c>
      <c r="I9" s="69" t="n">
        <v>0.1036269430051813</v>
      </c>
      <c r="J9" s="69" t="n">
        <v>0.1076095311299001</v>
      </c>
      <c r="K9" s="69" t="n">
        <v>0.111317254174397</v>
      </c>
      <c r="L9" s="69" t="n">
        <v>0.1118124436429215</v>
      </c>
      <c r="M9" s="69" t="n">
        <v>0.112280701754386</v>
      </c>
      <c r="N9" s="69" t="n">
        <v>0.1127241673783091</v>
      </c>
      <c r="O9" s="69" t="n">
        <v>0.1131447587354409</v>
      </c>
      <c r="P9" s="69" t="n">
        <v>0.113544201135442</v>
      </c>
      <c r="Q9" s="69" t="n">
        <v>0.1139240506329114</v>
      </c>
      <c r="R9" s="69" t="n">
        <v>0.1142857142857143</v>
      </c>
      <c r="S9" s="69" t="n">
        <v>0.114630467571644</v>
      </c>
      <c r="T9" s="69" t="n">
        <v>0.1149594694178335</v>
      </c>
      <c r="U9" s="69" t="n">
        <v>0.1152737752161383</v>
      </c>
    </row>
    <row r="10">
      <c r="A10" s="70" t="inlineStr">
        <is>
          <t>Analyst</t>
        </is>
      </c>
      <c r="B10" s="71" t="n">
        <v>0.05660377358490566</v>
      </c>
      <c r="C10" s="71" t="n">
        <v>0.06741573033707865</v>
      </c>
      <c r="D10" s="71" t="n">
        <v>0.07453416149068323</v>
      </c>
      <c r="E10" s="71" t="n">
        <v>0.078125</v>
      </c>
      <c r="F10" s="71" t="n">
        <v>0.08071748878923767</v>
      </c>
      <c r="G10" s="71" t="n">
        <v>0.0826517434352131</v>
      </c>
      <c r="H10" s="71" t="n">
        <v>0.08443708609271523</v>
      </c>
      <c r="I10" s="71" t="n">
        <v>0.08609007572738143</v>
      </c>
      <c r="J10" s="71" t="n">
        <v>0.08762490392006146</v>
      </c>
      <c r="K10" s="71" t="n">
        <v>0.08905380333951762</v>
      </c>
      <c r="L10" s="71" t="n">
        <v>0.09089269612263301</v>
      </c>
      <c r="M10" s="71" t="n">
        <v>0.09263157894736843</v>
      </c>
      <c r="N10" s="71" t="n">
        <v>0.09427839453458582</v>
      </c>
      <c r="O10" s="71" t="n">
        <v>0.09584026622296173</v>
      </c>
      <c r="P10" s="71" t="n">
        <v>0.09732360097323602</v>
      </c>
      <c r="Q10" s="71" t="n">
        <v>0.09873417721518989</v>
      </c>
      <c r="R10" s="71" t="n">
        <v>0.1000772200772201</v>
      </c>
      <c r="S10" s="71" t="n">
        <v>0.1013574660633484</v>
      </c>
      <c r="T10" s="71" t="n">
        <v>0.1025792188651437</v>
      </c>
      <c r="U10" s="71" t="n">
        <v>0.1037463976945245</v>
      </c>
    </row>
    <row r="11">
      <c r="A11" s="68" t="inlineStr">
        <is>
          <t>Junior Analyst</t>
        </is>
      </c>
      <c r="B11" s="69" t="n">
        <v>0</v>
      </c>
      <c r="C11" s="69" t="n">
        <v>0.01123595505617977</v>
      </c>
      <c r="D11" s="69" t="n">
        <v>0.01863354037267081</v>
      </c>
      <c r="E11" s="69" t="n">
        <v>0.0234375</v>
      </c>
      <c r="F11" s="69" t="n">
        <v>0.02690582959641256</v>
      </c>
      <c r="G11" s="69" t="n">
        <v>0.0284115368058545</v>
      </c>
      <c r="H11" s="69" t="n">
        <v>0.02980132450331125</v>
      </c>
      <c r="I11" s="69" t="n">
        <v>0.03108808290155441</v>
      </c>
      <c r="J11" s="69" t="n">
        <v>0.03228285933897001</v>
      </c>
      <c r="K11" s="69" t="n">
        <v>0.03339517625231911</v>
      </c>
      <c r="L11" s="69" t="n">
        <v>0.03354373309287647</v>
      </c>
      <c r="M11" s="69" t="n">
        <v>0.0336842105263158</v>
      </c>
      <c r="N11" s="69" t="n">
        <v>0.03381725021349274</v>
      </c>
      <c r="O11" s="69" t="n">
        <v>0.03394342762063228</v>
      </c>
      <c r="P11" s="69" t="n">
        <v>0.0340632603406326</v>
      </c>
      <c r="Q11" s="69" t="n">
        <v>0.03417721518987342</v>
      </c>
      <c r="R11" s="69" t="n">
        <v>0.03428571428571429</v>
      </c>
      <c r="S11" s="69" t="n">
        <v>0.03438914027149321</v>
      </c>
      <c r="T11" s="69" t="n">
        <v>0.03448784082535004</v>
      </c>
      <c r="U11" s="69" t="n">
        <v>0.0345821325648415</v>
      </c>
    </row>
    <row r="12">
      <c r="A12" s="70" t="inlineStr">
        <is>
          <t>Head of Trading</t>
        </is>
      </c>
      <c r="B12" s="71" t="n">
        <v>0</v>
      </c>
      <c r="C12" s="71" t="n">
        <v>0</v>
      </c>
      <c r="D12" s="71" t="n">
        <v>0</v>
      </c>
      <c r="E12" s="71" t="n">
        <v>0.0234375</v>
      </c>
      <c r="F12" s="71" t="n">
        <v>0.04035874439461883</v>
      </c>
      <c r="G12" s="71" t="n">
        <v>0.03874300473525614</v>
      </c>
      <c r="H12" s="71" t="n">
        <v>0.03725165562913908</v>
      </c>
      <c r="I12" s="71" t="n">
        <v>0.03587086488640893</v>
      </c>
      <c r="J12" s="71" t="n">
        <v>0.03458877786318216</v>
      </c>
      <c r="K12" s="71" t="n">
        <v>0.03339517625231911</v>
      </c>
      <c r="L12" s="71" t="n">
        <v>0.03246167718665464</v>
      </c>
      <c r="M12" s="71" t="n">
        <v>0.03157894736842105</v>
      </c>
      <c r="N12" s="71" t="n">
        <v>0.03074295473953886</v>
      </c>
      <c r="O12" s="71" t="n">
        <v>0.02995008319467554</v>
      </c>
      <c r="P12" s="71" t="n">
        <v>0.0291970802919708</v>
      </c>
      <c r="Q12" s="71" t="n">
        <v>0.02848101265822785</v>
      </c>
      <c r="R12" s="71" t="n">
        <v>0.0277992277992278</v>
      </c>
      <c r="S12" s="71" t="n">
        <v>0.02714932126696833</v>
      </c>
      <c r="T12" s="71" t="n">
        <v>0.02652910832719233</v>
      </c>
      <c r="U12" s="71" t="n">
        <v>0.02593659942363112</v>
      </c>
    </row>
    <row r="13">
      <c r="A13" s="68" t="inlineStr">
        <is>
          <t>Trader / Execution</t>
        </is>
      </c>
      <c r="B13" s="69" t="n">
        <v>0</v>
      </c>
      <c r="C13" s="69" t="n">
        <v>0.01872659176029963</v>
      </c>
      <c r="D13" s="69" t="n">
        <v>0.03105590062111801</v>
      </c>
      <c r="E13" s="69" t="n">
        <v>0.02604166666666667</v>
      </c>
      <c r="F13" s="69" t="n">
        <v>0.02242152466367713</v>
      </c>
      <c r="G13" s="69" t="n">
        <v>0.02582866982350409</v>
      </c>
      <c r="H13" s="69" t="n">
        <v>0.02897350993377484</v>
      </c>
      <c r="I13" s="69" t="n">
        <v>0.03188521323236349</v>
      </c>
      <c r="J13" s="69" t="n">
        <v>0.03458877786318216</v>
      </c>
      <c r="K13" s="69" t="n">
        <v>0.03710575139146568</v>
      </c>
      <c r="L13" s="69" t="n">
        <v>0.03606853020739405</v>
      </c>
      <c r="M13" s="69" t="n">
        <v>0.03508771929824561</v>
      </c>
      <c r="N13" s="69" t="n">
        <v>0.03415883859948762</v>
      </c>
      <c r="O13" s="69" t="n">
        <v>0.03327787021630615</v>
      </c>
      <c r="P13" s="69" t="n">
        <v>0.032441200324412</v>
      </c>
      <c r="Q13" s="69" t="n">
        <v>0.03164556962025317</v>
      </c>
      <c r="R13" s="69" t="n">
        <v>0.03088803088803089</v>
      </c>
      <c r="S13" s="69" t="n">
        <v>0.0301659125188537</v>
      </c>
      <c r="T13" s="69" t="n">
        <v>0.02947678703021371</v>
      </c>
      <c r="U13" s="69" t="n">
        <v>0.02881844380403458</v>
      </c>
    </row>
    <row r="14">
      <c r="A14" s="70" t="inlineStr">
        <is>
          <t>COO / Head of Operations</t>
        </is>
      </c>
      <c r="B14" s="71" t="n">
        <v>0.07075471698113207</v>
      </c>
      <c r="C14" s="71" t="n">
        <v>0.05617977528089887</v>
      </c>
      <c r="D14" s="71" t="n">
        <v>0.04658385093167702</v>
      </c>
      <c r="E14" s="71" t="n">
        <v>0.0390625</v>
      </c>
      <c r="F14" s="71" t="n">
        <v>0.0336322869955157</v>
      </c>
      <c r="G14" s="71" t="n">
        <v>0.03228583727938011</v>
      </c>
      <c r="H14" s="71" t="n">
        <v>0.0310430463576159</v>
      </c>
      <c r="I14" s="71" t="n">
        <v>0.02989238740534077</v>
      </c>
      <c r="J14" s="71" t="n">
        <v>0.0288239815526518</v>
      </c>
      <c r="K14" s="71" t="n">
        <v>0.02782931354359926</v>
      </c>
      <c r="L14" s="71" t="n">
        <v>0.02705139765554554</v>
      </c>
      <c r="M14" s="71" t="n">
        <v>0.02631578947368421</v>
      </c>
      <c r="N14" s="71" t="n">
        <v>0.02561912894961571</v>
      </c>
      <c r="O14" s="71" t="n">
        <v>0.02495840266222962</v>
      </c>
      <c r="P14" s="71" t="n">
        <v>0.024330900243309</v>
      </c>
      <c r="Q14" s="71" t="n">
        <v>0.02373417721518987</v>
      </c>
      <c r="R14" s="71" t="n">
        <v>0.02316602316602316</v>
      </c>
      <c r="S14" s="71" t="n">
        <v>0.02262443438914027</v>
      </c>
      <c r="T14" s="71" t="n">
        <v>0.02210759027266028</v>
      </c>
      <c r="U14" s="71" t="n">
        <v>0.02161383285302594</v>
      </c>
    </row>
    <row r="15">
      <c r="A15" s="68" t="inlineStr">
        <is>
          <t>CFO / Finance</t>
        </is>
      </c>
      <c r="B15" s="69" t="n">
        <v>0</v>
      </c>
      <c r="C15" s="69" t="n">
        <v>0.02247191011235955</v>
      </c>
      <c r="D15" s="69" t="n">
        <v>0.03726708074534162</v>
      </c>
      <c r="E15" s="69" t="n">
        <v>0.03125</v>
      </c>
      <c r="F15" s="69" t="n">
        <v>0.02690582959641256</v>
      </c>
      <c r="G15" s="69" t="n">
        <v>0.02582866982350409</v>
      </c>
      <c r="H15" s="69" t="n">
        <v>0.02483443708609272</v>
      </c>
      <c r="I15" s="69" t="n">
        <v>0.02391390992427262</v>
      </c>
      <c r="J15" s="69" t="n">
        <v>0.02305918524212144</v>
      </c>
      <c r="K15" s="69" t="n">
        <v>0.02226345083487941</v>
      </c>
      <c r="L15" s="69" t="n">
        <v>0.02164111812443643</v>
      </c>
      <c r="M15" s="69" t="n">
        <v>0.02105263157894737</v>
      </c>
      <c r="N15" s="69" t="n">
        <v>0.02049530315969257</v>
      </c>
      <c r="O15" s="69" t="n">
        <v>0.01996672212978369</v>
      </c>
      <c r="P15" s="69" t="n">
        <v>0.0194647201946472</v>
      </c>
      <c r="Q15" s="69" t="n">
        <v>0.0189873417721519</v>
      </c>
      <c r="R15" s="69" t="n">
        <v>0.01853281853281853</v>
      </c>
      <c r="S15" s="69" t="n">
        <v>0.01809954751131222</v>
      </c>
      <c r="T15" s="69" t="n">
        <v>0.01768607221812822</v>
      </c>
      <c r="U15" s="69" t="n">
        <v>0.01729106628242075</v>
      </c>
    </row>
    <row r="16">
      <c r="A16" s="70" t="inlineStr">
        <is>
          <t>Compliance / Legal</t>
        </is>
      </c>
      <c r="B16" s="71" t="n">
        <v>0</v>
      </c>
      <c r="C16" s="71" t="n">
        <v>0</v>
      </c>
      <c r="D16" s="71" t="n">
        <v>0</v>
      </c>
      <c r="E16" s="71" t="n">
        <v>0.01041666666666667</v>
      </c>
      <c r="F16" s="71" t="n">
        <v>0.0179372197309417</v>
      </c>
      <c r="G16" s="71" t="n">
        <v>0.01721911321566939</v>
      </c>
      <c r="H16" s="71" t="n">
        <v>0.01655629139072848</v>
      </c>
      <c r="I16" s="71" t="n">
        <v>0.01594260661618175</v>
      </c>
      <c r="J16" s="71" t="n">
        <v>0.01537279016141429</v>
      </c>
      <c r="K16" s="71" t="n">
        <v>0.01484230055658627</v>
      </c>
      <c r="L16" s="71" t="n">
        <v>0.01442741208295762</v>
      </c>
      <c r="M16" s="71" t="n">
        <v>0.01403508771929825</v>
      </c>
      <c r="N16" s="71" t="n">
        <v>0.01366353543979505</v>
      </c>
      <c r="O16" s="71" t="n">
        <v>0.01331114808652246</v>
      </c>
      <c r="P16" s="71" t="n">
        <v>0.0129764801297648</v>
      </c>
      <c r="Q16" s="71" t="n">
        <v>0.01265822784810127</v>
      </c>
      <c r="R16" s="71" t="n">
        <v>0.01235521235521236</v>
      </c>
      <c r="S16" s="71" t="n">
        <v>0.01206636500754148</v>
      </c>
      <c r="T16" s="71" t="n">
        <v>0.01179071481208548</v>
      </c>
      <c r="U16" s="71" t="n">
        <v>0.01152737752161383</v>
      </c>
    </row>
    <row r="17">
      <c r="A17" s="68" t="inlineStr">
        <is>
          <t>Investor Relations / Ops</t>
        </is>
      </c>
      <c r="B17" s="69" t="n">
        <v>0.02358490566037736</v>
      </c>
      <c r="C17" s="69" t="n">
        <v>0.01872659176029963</v>
      </c>
      <c r="D17" s="69" t="n">
        <v>0.01552795031055901</v>
      </c>
      <c r="E17" s="69" t="n">
        <v>0.01302083333333333</v>
      </c>
      <c r="F17" s="69" t="n">
        <v>0.01121076233183856</v>
      </c>
      <c r="G17" s="69" t="n">
        <v>0.01291433491175204</v>
      </c>
      <c r="H17" s="69" t="n">
        <v>0.01448675496688742</v>
      </c>
      <c r="I17" s="69" t="n">
        <v>0.01594260661618175</v>
      </c>
      <c r="J17" s="69" t="n">
        <v>0.01729438893159108</v>
      </c>
      <c r="K17" s="69" t="n">
        <v>0.01855287569573284</v>
      </c>
      <c r="L17" s="69" t="n">
        <v>0.01893597835888187</v>
      </c>
      <c r="M17" s="69" t="n">
        <v>0.01929824561403509</v>
      </c>
      <c r="N17" s="69" t="n">
        <v>0.01964133219470538</v>
      </c>
      <c r="O17" s="69" t="n">
        <v>0.01996672212978369</v>
      </c>
      <c r="P17" s="69" t="n">
        <v>0.0202757502027575</v>
      </c>
      <c r="Q17" s="69" t="n">
        <v>0.02056962025316456</v>
      </c>
      <c r="R17" s="69" t="n">
        <v>0.02084942084942085</v>
      </c>
      <c r="S17" s="69" t="n">
        <v>0.02111613876319759</v>
      </c>
      <c r="T17" s="69" t="n">
        <v>0.02137067059690494</v>
      </c>
      <c r="U17" s="69" t="n">
        <v>0.02161383285302594</v>
      </c>
    </row>
    <row r="18">
      <c r="A18" s="72" t="inlineStr">
        <is>
          <t>Total</t>
        </is>
      </c>
      <c r="B18" s="73">
        <f>SUM(B5:B17)</f>
        <v/>
      </c>
      <c r="C18" s="73">
        <f>SUM(C5:C17)</f>
        <v/>
      </c>
      <c r="D18" s="73">
        <f>SUM(D5:D17)</f>
        <v/>
      </c>
      <c r="E18" s="73">
        <f>SUM(E5:E17)</f>
        <v/>
      </c>
      <c r="F18" s="73">
        <f>SUM(F5:F17)</f>
        <v/>
      </c>
      <c r="G18" s="73">
        <f>SUM(G5:G17)</f>
        <v/>
      </c>
      <c r="H18" s="73">
        <f>SUM(H5:H17)</f>
        <v/>
      </c>
      <c r="I18" s="73">
        <f>SUM(I5:I17)</f>
        <v/>
      </c>
      <c r="J18" s="73">
        <f>SUM(J5:J17)</f>
        <v/>
      </c>
      <c r="K18" s="73">
        <f>SUM(K5:K17)</f>
        <v/>
      </c>
      <c r="L18" s="73">
        <f>SUM(L5:L17)</f>
        <v/>
      </c>
      <c r="M18" s="73">
        <f>SUM(M5:M17)</f>
        <v/>
      </c>
      <c r="N18" s="73">
        <f>SUM(N5:N17)</f>
        <v/>
      </c>
      <c r="O18" s="73">
        <f>SUM(O5:O17)</f>
        <v/>
      </c>
      <c r="P18" s="73">
        <f>SUM(P5:P17)</f>
        <v/>
      </c>
      <c r="Q18" s="73">
        <f>SUM(Q5:Q17)</f>
        <v/>
      </c>
      <c r="R18" s="73">
        <f>SUM(R5:R17)</f>
        <v/>
      </c>
      <c r="S18" s="73">
        <f>SUM(S5:S17)</f>
        <v/>
      </c>
      <c r="T18" s="73">
        <f>SUM(T5:T17)</f>
        <v/>
      </c>
      <c r="U18" s="73">
        <f>SUM(U5:U17)</f>
        <v/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61" t="inlineStr">
        <is>
          <t>Share of the take PER PERSON, by role, as AUM grows $100m → $2bn</t>
        </is>
      </c>
    </row>
    <row r="2">
      <c r="A2" s="62" t="inlineStr">
        <is>
          <t>Per-person share = role weight ÷ total weighted units. One individual's slice — declines for every role as the firm hires.</t>
        </is>
      </c>
    </row>
    <row r="4">
      <c r="A4" s="72" t="inlineStr">
        <is>
          <t>AUM (USD m) →</t>
        </is>
      </c>
      <c r="B4" s="74" t="n">
        <v>100</v>
      </c>
      <c r="C4" s="74" t="n">
        <v>200</v>
      </c>
      <c r="D4" s="74" t="n">
        <v>300</v>
      </c>
      <c r="E4" s="74" t="n">
        <v>400</v>
      </c>
      <c r="F4" s="74" t="n">
        <v>500</v>
      </c>
      <c r="G4" s="74" t="n">
        <v>600</v>
      </c>
      <c r="H4" s="74" t="n">
        <v>700</v>
      </c>
      <c r="I4" s="74" t="n">
        <v>800</v>
      </c>
      <c r="J4" s="74" t="n">
        <v>900</v>
      </c>
      <c r="K4" s="74" t="n">
        <v>1000</v>
      </c>
      <c r="L4" s="74" t="n">
        <v>1100</v>
      </c>
      <c r="M4" s="74" t="n">
        <v>1200</v>
      </c>
      <c r="N4" s="74" t="n">
        <v>1300</v>
      </c>
      <c r="O4" s="74" t="n">
        <v>1400</v>
      </c>
      <c r="P4" s="74" t="n">
        <v>1500</v>
      </c>
      <c r="Q4" s="74" t="n">
        <v>1600</v>
      </c>
      <c r="R4" s="74" t="n">
        <v>1700</v>
      </c>
      <c r="S4" s="74" t="n">
        <v>1800</v>
      </c>
      <c r="T4" s="74" t="n">
        <v>1900</v>
      </c>
      <c r="U4" s="74" t="n">
        <v>2000</v>
      </c>
    </row>
    <row r="5">
      <c r="A5" s="68" t="inlineStr">
        <is>
          <t>Managing Partner / CIO  (wt 100)</t>
        </is>
      </c>
      <c r="B5" s="75" t="n">
        <v>0.4716981132075472</v>
      </c>
      <c r="C5" s="75" t="n">
        <v>0.3745318352059925</v>
      </c>
      <c r="D5" s="75" t="n">
        <v>0.3105590062111801</v>
      </c>
      <c r="E5" s="75" t="n">
        <v>0.2604166666666667</v>
      </c>
      <c r="F5" s="75" t="n">
        <v>0.2242152466367713</v>
      </c>
      <c r="G5" s="75" t="n">
        <v>0.2152389151958674</v>
      </c>
      <c r="H5" s="75" t="n">
        <v>0.206953642384106</v>
      </c>
      <c r="I5" s="75" t="n">
        <v>0.1992825827022718</v>
      </c>
      <c r="J5" s="75" t="n">
        <v>0.1921598770176787</v>
      </c>
      <c r="K5" s="75" t="n">
        <v>0.1855287569573284</v>
      </c>
      <c r="L5" s="75" t="n">
        <v>0.1803426510369703</v>
      </c>
      <c r="M5" s="75" t="n">
        <v>0.1754385964912281</v>
      </c>
      <c r="N5" s="75" t="n">
        <v>0.1707941929974381</v>
      </c>
      <c r="O5" s="75" t="n">
        <v>0.1663893510815308</v>
      </c>
      <c r="P5" s="75" t="n">
        <v>0.16220600162206</v>
      </c>
      <c r="Q5" s="75" t="n">
        <v>0.1582278481012658</v>
      </c>
      <c r="R5" s="75" t="n">
        <v>0.1544401544401544</v>
      </c>
      <c r="S5" s="75" t="n">
        <v>0.1508295625942685</v>
      </c>
      <c r="T5" s="75" t="n">
        <v>0.1473839351510685</v>
      </c>
      <c r="U5" s="75" t="n">
        <v>0.1440922190201729</v>
      </c>
    </row>
    <row r="6">
      <c r="A6" s="70" t="inlineStr">
        <is>
          <t>Partner / Co-PM  (wt 60)</t>
        </is>
      </c>
      <c r="B6" s="76" t="n">
        <v>0.2830188679245283</v>
      </c>
      <c r="C6" s="76" t="n">
        <v>0.2247191011235955</v>
      </c>
      <c r="D6" s="76" t="n">
        <v>0.1863354037267081</v>
      </c>
      <c r="E6" s="76" t="n">
        <v>0.15625</v>
      </c>
      <c r="F6" s="76" t="n">
        <v>0.1345291479820628</v>
      </c>
      <c r="G6" s="76" t="n">
        <v>0.1291433491175205</v>
      </c>
      <c r="H6" s="76" t="n">
        <v>0.1241721854304636</v>
      </c>
      <c r="I6" s="76" t="n">
        <v>0.1195695496213631</v>
      </c>
      <c r="J6" s="76" t="n">
        <v>0.1152959262106072</v>
      </c>
      <c r="K6" s="76" t="n">
        <v>0.111317254174397</v>
      </c>
      <c r="L6" s="76" t="n">
        <v>0.1082055906221821</v>
      </c>
      <c r="M6" s="76" t="n">
        <v>0.1052631578947368</v>
      </c>
      <c r="N6" s="76" t="n">
        <v>0.1024765157984629</v>
      </c>
      <c r="O6" s="76" t="n">
        <v>0.09983361064891846</v>
      </c>
      <c r="P6" s="76" t="n">
        <v>0.09732360097323602</v>
      </c>
      <c r="Q6" s="76" t="n">
        <v>0.0949367088607595</v>
      </c>
      <c r="R6" s="76" t="n">
        <v>0.09266409266409266</v>
      </c>
      <c r="S6" s="76" t="n">
        <v>0.09049773755656108</v>
      </c>
      <c r="T6" s="76" t="n">
        <v>0.08843036109064112</v>
      </c>
      <c r="U6" s="76" t="n">
        <v>0.08645533141210375</v>
      </c>
    </row>
    <row r="7">
      <c r="A7" s="68" t="inlineStr">
        <is>
          <t>Portfolio Manager  (wt 40)</t>
        </is>
      </c>
      <c r="B7" s="75" t="n">
        <v>0.1886792452830189</v>
      </c>
      <c r="C7" s="75" t="n">
        <v>0.149812734082397</v>
      </c>
      <c r="D7" s="75" t="n">
        <v>0.124223602484472</v>
      </c>
      <c r="E7" s="75" t="n">
        <v>0.1041666666666667</v>
      </c>
      <c r="F7" s="75" t="n">
        <v>0.08968609865470852</v>
      </c>
      <c r="G7" s="75" t="n">
        <v>0.08609556607834697</v>
      </c>
      <c r="H7" s="75" t="n">
        <v>0.08278145695364239</v>
      </c>
      <c r="I7" s="75" t="n">
        <v>0.07971303308090873</v>
      </c>
      <c r="J7" s="75" t="n">
        <v>0.07686395080707147</v>
      </c>
      <c r="K7" s="75" t="n">
        <v>0.07421150278293136</v>
      </c>
      <c r="L7" s="75" t="n">
        <v>0.0721370604147881</v>
      </c>
      <c r="M7" s="75" t="n">
        <v>0.07017543859649122</v>
      </c>
      <c r="N7" s="75" t="n">
        <v>0.06831767719897523</v>
      </c>
      <c r="O7" s="75" t="n">
        <v>0.06655574043261231</v>
      </c>
      <c r="P7" s="75" t="n">
        <v>0.064882400648824</v>
      </c>
      <c r="Q7" s="75" t="n">
        <v>0.06329113924050633</v>
      </c>
      <c r="R7" s="75" t="n">
        <v>0.06177606177606178</v>
      </c>
      <c r="S7" s="75" t="n">
        <v>0.06033182503770739</v>
      </c>
      <c r="T7" s="75" t="n">
        <v>0.05895357406042741</v>
      </c>
      <c r="U7" s="75" t="n">
        <v>0.05763688760806916</v>
      </c>
    </row>
    <row r="8">
      <c r="A8" s="70" t="inlineStr">
        <is>
          <t>Head of Research  (wt 30)</t>
        </is>
      </c>
      <c r="B8" s="76" t="n">
        <v>0.1415094339622641</v>
      </c>
      <c r="C8" s="76" t="n">
        <v>0.1123595505617977</v>
      </c>
      <c r="D8" s="76" t="n">
        <v>0.09316770186335403</v>
      </c>
      <c r="E8" s="76" t="n">
        <v>0.078125</v>
      </c>
      <c r="F8" s="76" t="n">
        <v>0.06726457399103139</v>
      </c>
      <c r="G8" s="76" t="n">
        <v>0.06457167455876023</v>
      </c>
      <c r="H8" s="76" t="n">
        <v>0.06208609271523179</v>
      </c>
      <c r="I8" s="76" t="n">
        <v>0.05978477481068155</v>
      </c>
      <c r="J8" s="76" t="n">
        <v>0.0576479631053036</v>
      </c>
      <c r="K8" s="76" t="n">
        <v>0.05565862708719851</v>
      </c>
      <c r="L8" s="76" t="n">
        <v>0.05410279531109107</v>
      </c>
      <c r="M8" s="76" t="n">
        <v>0.05263157894736842</v>
      </c>
      <c r="N8" s="76" t="n">
        <v>0.05123825789923143</v>
      </c>
      <c r="O8" s="76" t="n">
        <v>0.04991680532445923</v>
      </c>
      <c r="P8" s="76" t="n">
        <v>0.04866180048661801</v>
      </c>
      <c r="Q8" s="76" t="n">
        <v>0.04746835443037975</v>
      </c>
      <c r="R8" s="76" t="n">
        <v>0.04633204633204633</v>
      </c>
      <c r="S8" s="76" t="n">
        <v>0.04524886877828054</v>
      </c>
      <c r="T8" s="76" t="n">
        <v>0.04421518054532056</v>
      </c>
      <c r="U8" s="76" t="n">
        <v>0.04322766570605188</v>
      </c>
    </row>
    <row r="9">
      <c r="A9" s="68" t="inlineStr">
        <is>
          <t>Senior Analyst  (wt 20)</t>
        </is>
      </c>
      <c r="B9" s="75" t="n">
        <v>0.09433962264150944</v>
      </c>
      <c r="C9" s="75" t="n">
        <v>0.0749063670411985</v>
      </c>
      <c r="D9" s="75" t="n">
        <v>0.06211180124223602</v>
      </c>
      <c r="E9" s="75" t="n">
        <v>0.05208333333333334</v>
      </c>
      <c r="F9" s="75" t="n">
        <v>0.04484304932735426</v>
      </c>
      <c r="G9" s="75" t="n">
        <v>0.04304778303917348</v>
      </c>
      <c r="H9" s="75" t="n">
        <v>0.0413907284768212</v>
      </c>
      <c r="I9" s="75" t="n">
        <v>0.03985651654045436</v>
      </c>
      <c r="J9" s="75" t="n">
        <v>0.03843197540353573</v>
      </c>
      <c r="K9" s="75" t="n">
        <v>0.03710575139146568</v>
      </c>
      <c r="L9" s="75" t="n">
        <v>0.03606853020739405</v>
      </c>
      <c r="M9" s="75" t="n">
        <v>0.03508771929824561</v>
      </c>
      <c r="N9" s="75" t="n">
        <v>0.03415883859948762</v>
      </c>
      <c r="O9" s="75" t="n">
        <v>0.03327787021630615</v>
      </c>
      <c r="P9" s="75" t="n">
        <v>0.032441200324412</v>
      </c>
      <c r="Q9" s="75" t="n">
        <v>0.03164556962025317</v>
      </c>
      <c r="R9" s="75" t="n">
        <v>0.03088803088803089</v>
      </c>
      <c r="S9" s="75" t="n">
        <v>0.0301659125188537</v>
      </c>
      <c r="T9" s="75" t="n">
        <v>0.02947678703021371</v>
      </c>
      <c r="U9" s="75" t="n">
        <v>0.02881844380403458</v>
      </c>
    </row>
    <row r="10">
      <c r="A10" s="70" t="inlineStr">
        <is>
          <t>Analyst  (wt 12)</t>
        </is>
      </c>
      <c r="B10" s="76" t="n">
        <v>0.05660377358490566</v>
      </c>
      <c r="C10" s="76" t="n">
        <v>0.0449438202247191</v>
      </c>
      <c r="D10" s="76" t="n">
        <v>0.03726708074534162</v>
      </c>
      <c r="E10" s="76" t="n">
        <v>0.03125</v>
      </c>
      <c r="F10" s="76" t="n">
        <v>0.02690582959641256</v>
      </c>
      <c r="G10" s="76" t="n">
        <v>0.02582866982350409</v>
      </c>
      <c r="H10" s="76" t="n">
        <v>0.02483443708609272</v>
      </c>
      <c r="I10" s="76" t="n">
        <v>0.02391390992427262</v>
      </c>
      <c r="J10" s="76" t="n">
        <v>0.02305918524212144</v>
      </c>
      <c r="K10" s="76" t="n">
        <v>0.02226345083487941</v>
      </c>
      <c r="L10" s="76" t="n">
        <v>0.02164111812443643</v>
      </c>
      <c r="M10" s="76" t="n">
        <v>0.02105263157894737</v>
      </c>
      <c r="N10" s="76" t="n">
        <v>0.02049530315969257</v>
      </c>
      <c r="O10" s="76" t="n">
        <v>0.01996672212978369</v>
      </c>
      <c r="P10" s="76" t="n">
        <v>0.0194647201946472</v>
      </c>
      <c r="Q10" s="76" t="n">
        <v>0.0189873417721519</v>
      </c>
      <c r="R10" s="76" t="n">
        <v>0.01853281853281853</v>
      </c>
      <c r="S10" s="76" t="n">
        <v>0.01809954751131222</v>
      </c>
      <c r="T10" s="76" t="n">
        <v>0.01768607221812822</v>
      </c>
      <c r="U10" s="76" t="n">
        <v>0.01729106628242075</v>
      </c>
    </row>
    <row r="11">
      <c r="A11" s="68" t="inlineStr">
        <is>
          <t>Junior Analyst  (wt 6)</t>
        </is>
      </c>
      <c r="B11" s="75" t="n">
        <v>0.02830188679245283</v>
      </c>
      <c r="C11" s="75" t="n">
        <v>0.02247191011235955</v>
      </c>
      <c r="D11" s="75" t="n">
        <v>0.01863354037267081</v>
      </c>
      <c r="E11" s="75" t="n">
        <v>0.015625</v>
      </c>
      <c r="F11" s="75" t="n">
        <v>0.01345291479820628</v>
      </c>
      <c r="G11" s="75" t="n">
        <v>0.01291433491175204</v>
      </c>
      <c r="H11" s="75" t="n">
        <v>0.01241721854304636</v>
      </c>
      <c r="I11" s="75" t="n">
        <v>0.01195695496213631</v>
      </c>
      <c r="J11" s="75" t="n">
        <v>0.01152959262106072</v>
      </c>
      <c r="K11" s="75" t="n">
        <v>0.0111317254174397</v>
      </c>
      <c r="L11" s="75" t="n">
        <v>0.01082055906221822</v>
      </c>
      <c r="M11" s="75" t="n">
        <v>0.01052631578947368</v>
      </c>
      <c r="N11" s="75" t="n">
        <v>0.01024765157984629</v>
      </c>
      <c r="O11" s="75" t="n">
        <v>0.009983361064891847</v>
      </c>
      <c r="P11" s="75" t="n">
        <v>0.009732360097323601</v>
      </c>
      <c r="Q11" s="75" t="n">
        <v>0.00949367088607595</v>
      </c>
      <c r="R11" s="75" t="n">
        <v>0.009266409266409266</v>
      </c>
      <c r="S11" s="75" t="n">
        <v>0.009049773755656109</v>
      </c>
      <c r="T11" s="75" t="n">
        <v>0.008843036109064112</v>
      </c>
      <c r="U11" s="75" t="n">
        <v>0.008645533141210375</v>
      </c>
    </row>
    <row r="12">
      <c r="A12" s="70" t="inlineStr">
        <is>
          <t>Head of Trading  (wt 18)</t>
        </is>
      </c>
      <c r="B12" s="76" t="n">
        <v>0.08490566037735849</v>
      </c>
      <c r="C12" s="76" t="n">
        <v>0.06741573033707865</v>
      </c>
      <c r="D12" s="76" t="n">
        <v>0.05590062111801242</v>
      </c>
      <c r="E12" s="76" t="n">
        <v>0.046875</v>
      </c>
      <c r="F12" s="76" t="n">
        <v>0.04035874439461883</v>
      </c>
      <c r="G12" s="76" t="n">
        <v>0.03874300473525614</v>
      </c>
      <c r="H12" s="76" t="n">
        <v>0.03725165562913908</v>
      </c>
      <c r="I12" s="76" t="n">
        <v>0.03587086488640893</v>
      </c>
      <c r="J12" s="76" t="n">
        <v>0.03458877786318216</v>
      </c>
      <c r="K12" s="76" t="n">
        <v>0.03339517625231911</v>
      </c>
      <c r="L12" s="76" t="n">
        <v>0.03246167718665464</v>
      </c>
      <c r="M12" s="76" t="n">
        <v>0.03157894736842105</v>
      </c>
      <c r="N12" s="76" t="n">
        <v>0.03074295473953886</v>
      </c>
      <c r="O12" s="76" t="n">
        <v>0.02995008319467554</v>
      </c>
      <c r="P12" s="76" t="n">
        <v>0.0291970802919708</v>
      </c>
      <c r="Q12" s="76" t="n">
        <v>0.02848101265822785</v>
      </c>
      <c r="R12" s="76" t="n">
        <v>0.0277992277992278</v>
      </c>
      <c r="S12" s="76" t="n">
        <v>0.02714932126696833</v>
      </c>
      <c r="T12" s="76" t="n">
        <v>0.02652910832719233</v>
      </c>
      <c r="U12" s="76" t="n">
        <v>0.02593659942363112</v>
      </c>
    </row>
    <row r="13">
      <c r="A13" s="68" t="inlineStr">
        <is>
          <t>Trader / Execution  (wt 10)</t>
        </is>
      </c>
      <c r="B13" s="75" t="n">
        <v>0.04716981132075472</v>
      </c>
      <c r="C13" s="75" t="n">
        <v>0.03745318352059925</v>
      </c>
      <c r="D13" s="75" t="n">
        <v>0.03105590062111801</v>
      </c>
      <c r="E13" s="75" t="n">
        <v>0.02604166666666667</v>
      </c>
      <c r="F13" s="75" t="n">
        <v>0.02242152466367713</v>
      </c>
      <c r="G13" s="75" t="n">
        <v>0.02152389151958674</v>
      </c>
      <c r="H13" s="75" t="n">
        <v>0.0206953642384106</v>
      </c>
      <c r="I13" s="75" t="n">
        <v>0.01992825827022718</v>
      </c>
      <c r="J13" s="75" t="n">
        <v>0.01921598770176787</v>
      </c>
      <c r="K13" s="75" t="n">
        <v>0.01855287569573284</v>
      </c>
      <c r="L13" s="75" t="n">
        <v>0.01803426510369702</v>
      </c>
      <c r="M13" s="75" t="n">
        <v>0.01754385964912281</v>
      </c>
      <c r="N13" s="75" t="n">
        <v>0.01707941929974381</v>
      </c>
      <c r="O13" s="75" t="n">
        <v>0.01663893510815308</v>
      </c>
      <c r="P13" s="75" t="n">
        <v>0.016220600162206</v>
      </c>
      <c r="Q13" s="75" t="n">
        <v>0.01582278481012658</v>
      </c>
      <c r="R13" s="75" t="n">
        <v>0.01544401544401544</v>
      </c>
      <c r="S13" s="75" t="n">
        <v>0.01508295625942685</v>
      </c>
      <c r="T13" s="75" t="n">
        <v>0.01473839351510685</v>
      </c>
      <c r="U13" s="75" t="n">
        <v>0.01440922190201729</v>
      </c>
    </row>
    <row r="14">
      <c r="A14" s="70" t="inlineStr">
        <is>
          <t>COO / Head of Operations  (wt 15)</t>
        </is>
      </c>
      <c r="B14" s="76" t="n">
        <v>0.07075471698113207</v>
      </c>
      <c r="C14" s="76" t="n">
        <v>0.05617977528089887</v>
      </c>
      <c r="D14" s="76" t="n">
        <v>0.04658385093167702</v>
      </c>
      <c r="E14" s="76" t="n">
        <v>0.0390625</v>
      </c>
      <c r="F14" s="76" t="n">
        <v>0.0336322869955157</v>
      </c>
      <c r="G14" s="76" t="n">
        <v>0.03228583727938011</v>
      </c>
      <c r="H14" s="76" t="n">
        <v>0.0310430463576159</v>
      </c>
      <c r="I14" s="76" t="n">
        <v>0.02989238740534077</v>
      </c>
      <c r="J14" s="76" t="n">
        <v>0.0288239815526518</v>
      </c>
      <c r="K14" s="76" t="n">
        <v>0.02782931354359926</v>
      </c>
      <c r="L14" s="76" t="n">
        <v>0.02705139765554554</v>
      </c>
      <c r="M14" s="76" t="n">
        <v>0.02631578947368421</v>
      </c>
      <c r="N14" s="76" t="n">
        <v>0.02561912894961571</v>
      </c>
      <c r="O14" s="76" t="n">
        <v>0.02495840266222962</v>
      </c>
      <c r="P14" s="76" t="n">
        <v>0.024330900243309</v>
      </c>
      <c r="Q14" s="76" t="n">
        <v>0.02373417721518987</v>
      </c>
      <c r="R14" s="76" t="n">
        <v>0.02316602316602316</v>
      </c>
      <c r="S14" s="76" t="n">
        <v>0.02262443438914027</v>
      </c>
      <c r="T14" s="76" t="n">
        <v>0.02210759027266028</v>
      </c>
      <c r="U14" s="76" t="n">
        <v>0.02161383285302594</v>
      </c>
    </row>
    <row r="15">
      <c r="A15" s="68" t="inlineStr">
        <is>
          <t>CFO / Finance  (wt 12)</t>
        </is>
      </c>
      <c r="B15" s="75" t="n">
        <v>0.05660377358490566</v>
      </c>
      <c r="C15" s="75" t="n">
        <v>0.0449438202247191</v>
      </c>
      <c r="D15" s="75" t="n">
        <v>0.03726708074534162</v>
      </c>
      <c r="E15" s="75" t="n">
        <v>0.03125</v>
      </c>
      <c r="F15" s="75" t="n">
        <v>0.02690582959641256</v>
      </c>
      <c r="G15" s="75" t="n">
        <v>0.02582866982350409</v>
      </c>
      <c r="H15" s="75" t="n">
        <v>0.02483443708609272</v>
      </c>
      <c r="I15" s="75" t="n">
        <v>0.02391390992427262</v>
      </c>
      <c r="J15" s="75" t="n">
        <v>0.02305918524212144</v>
      </c>
      <c r="K15" s="75" t="n">
        <v>0.02226345083487941</v>
      </c>
      <c r="L15" s="75" t="n">
        <v>0.02164111812443643</v>
      </c>
      <c r="M15" s="75" t="n">
        <v>0.02105263157894737</v>
      </c>
      <c r="N15" s="75" t="n">
        <v>0.02049530315969257</v>
      </c>
      <c r="O15" s="75" t="n">
        <v>0.01996672212978369</v>
      </c>
      <c r="P15" s="75" t="n">
        <v>0.0194647201946472</v>
      </c>
      <c r="Q15" s="75" t="n">
        <v>0.0189873417721519</v>
      </c>
      <c r="R15" s="75" t="n">
        <v>0.01853281853281853</v>
      </c>
      <c r="S15" s="75" t="n">
        <v>0.01809954751131222</v>
      </c>
      <c r="T15" s="75" t="n">
        <v>0.01768607221812822</v>
      </c>
      <c r="U15" s="75" t="n">
        <v>0.01729106628242075</v>
      </c>
    </row>
    <row r="16">
      <c r="A16" s="70" t="inlineStr">
        <is>
          <t>Compliance / Legal  (wt 8)</t>
        </is>
      </c>
      <c r="B16" s="76" t="n">
        <v>0.03773584905660377</v>
      </c>
      <c r="C16" s="76" t="n">
        <v>0.0299625468164794</v>
      </c>
      <c r="D16" s="76" t="n">
        <v>0.02484472049689441</v>
      </c>
      <c r="E16" s="76" t="n">
        <v>0.02083333333333333</v>
      </c>
      <c r="F16" s="76" t="n">
        <v>0.0179372197309417</v>
      </c>
      <c r="G16" s="76" t="n">
        <v>0.01721911321566939</v>
      </c>
      <c r="H16" s="76" t="n">
        <v>0.01655629139072848</v>
      </c>
      <c r="I16" s="76" t="n">
        <v>0.01594260661618175</v>
      </c>
      <c r="J16" s="76" t="n">
        <v>0.01537279016141429</v>
      </c>
      <c r="K16" s="76" t="n">
        <v>0.01484230055658627</v>
      </c>
      <c r="L16" s="76" t="n">
        <v>0.01442741208295762</v>
      </c>
      <c r="M16" s="76" t="n">
        <v>0.01403508771929825</v>
      </c>
      <c r="N16" s="76" t="n">
        <v>0.01366353543979505</v>
      </c>
      <c r="O16" s="76" t="n">
        <v>0.01331114808652246</v>
      </c>
      <c r="P16" s="76" t="n">
        <v>0.0129764801297648</v>
      </c>
      <c r="Q16" s="76" t="n">
        <v>0.01265822784810127</v>
      </c>
      <c r="R16" s="76" t="n">
        <v>0.01235521235521236</v>
      </c>
      <c r="S16" s="76" t="n">
        <v>0.01206636500754148</v>
      </c>
      <c r="T16" s="76" t="n">
        <v>0.01179071481208548</v>
      </c>
      <c r="U16" s="76" t="n">
        <v>0.01152737752161383</v>
      </c>
    </row>
    <row r="17">
      <c r="A17" s="68" t="inlineStr">
        <is>
          <t>Investor Relations / Ops  (wt 5)</t>
        </is>
      </c>
      <c r="B17" s="75" t="n">
        <v>0.02358490566037736</v>
      </c>
      <c r="C17" s="75" t="n">
        <v>0.01872659176029963</v>
      </c>
      <c r="D17" s="75" t="n">
        <v>0.01552795031055901</v>
      </c>
      <c r="E17" s="75" t="n">
        <v>0.01302083333333333</v>
      </c>
      <c r="F17" s="75" t="n">
        <v>0.01121076233183856</v>
      </c>
      <c r="G17" s="75" t="n">
        <v>0.01076194575979337</v>
      </c>
      <c r="H17" s="75" t="n">
        <v>0.0103476821192053</v>
      </c>
      <c r="I17" s="75" t="n">
        <v>0.009964129135113591</v>
      </c>
      <c r="J17" s="75" t="n">
        <v>0.009607993850883933</v>
      </c>
      <c r="K17" s="75" t="n">
        <v>0.00927643784786642</v>
      </c>
      <c r="L17" s="75" t="n">
        <v>0.009017132551848512</v>
      </c>
      <c r="M17" s="75" t="n">
        <v>0.008771929824561403</v>
      </c>
      <c r="N17" s="75" t="n">
        <v>0.008539709649871904</v>
      </c>
      <c r="O17" s="75" t="n">
        <v>0.008319467554076539</v>
      </c>
      <c r="P17" s="75" t="n">
        <v>0.008110300081103</v>
      </c>
      <c r="Q17" s="75" t="n">
        <v>0.007911392405063292</v>
      </c>
      <c r="R17" s="75" t="n">
        <v>0.007722007722007722</v>
      </c>
      <c r="S17" s="75" t="n">
        <v>0.007541478129713424</v>
      </c>
      <c r="T17" s="75" t="n">
        <v>0.007369196757553427</v>
      </c>
      <c r="U17" s="75" t="n">
        <v>0.007204610951008645</v>
      </c>
    </row>
    <row r="18">
      <c r="A18" s="72" t="inlineStr">
        <is>
          <t>Total units (denominator)</t>
        </is>
      </c>
      <c r="B18" s="74" t="n">
        <v>212</v>
      </c>
      <c r="C18" s="74" t="n">
        <v>267</v>
      </c>
      <c r="D18" s="74" t="n">
        <v>322</v>
      </c>
      <c r="E18" s="74" t="n">
        <v>384</v>
      </c>
      <c r="F18" s="74" t="n">
        <v>446</v>
      </c>
      <c r="G18" s="74" t="n">
        <v>465</v>
      </c>
      <c r="H18" s="74" t="n">
        <v>483</v>
      </c>
      <c r="I18" s="74" t="n">
        <v>502</v>
      </c>
      <c r="J18" s="74" t="n">
        <v>520</v>
      </c>
      <c r="K18" s="74" t="n">
        <v>539</v>
      </c>
      <c r="L18" s="74" t="n">
        <v>554</v>
      </c>
      <c r="M18" s="74" t="n">
        <v>570</v>
      </c>
      <c r="N18" s="74" t="n">
        <v>586</v>
      </c>
      <c r="O18" s="74" t="n">
        <v>601</v>
      </c>
      <c r="P18" s="74" t="n">
        <v>616</v>
      </c>
      <c r="Q18" s="74" t="n">
        <v>632</v>
      </c>
      <c r="R18" s="74" t="n">
        <v>648</v>
      </c>
      <c r="S18" s="74" t="n">
        <v>663</v>
      </c>
      <c r="T18" s="74" t="n">
        <v>678</v>
      </c>
      <c r="U18" s="74" t="n">
        <v>694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workbookViewId="0">
      <selection activeCell="K19" sqref="K19"/>
    </sheetView>
  </sheetViews>
  <sheetFormatPr baseColWidth="8" defaultRowHeight="14.5"/>
  <sheetData>
    <row r="1" ht="16" customHeight="1">
      <c r="A1" s="1" t="inlineStr">
        <is>
          <t>MSCI World IMI Index</t>
        </is>
      </c>
      <c r="B1" s="2" t="n"/>
      <c r="C1" s="2" t="n"/>
      <c r="D1" s="2" t="n"/>
      <c r="E1" s="2" t="n"/>
      <c r="F1" s="2" t="n"/>
      <c r="G1" s="3" t="n"/>
      <c r="H1" s="2" t="n"/>
      <c r="I1" s="2" t="n"/>
      <c r="J1" s="2" t="n"/>
      <c r="K1" s="2" t="n"/>
      <c r="L1" s="2" t="n"/>
      <c r="M1" s="2" t="n"/>
      <c r="N1" s="2" t="n"/>
      <c r="O1" s="2" t="n"/>
      <c r="P1" s="4" t="n"/>
      <c r="Q1" s="4" t="n"/>
      <c r="R1" s="4" t="n"/>
      <c r="S1" s="4" t="n"/>
      <c r="T1" s="4" t="n"/>
      <c r="U1" s="4" t="n"/>
      <c r="V1" s="4" t="n"/>
    </row>
    <row r="2">
      <c r="B2" s="5" t="n"/>
      <c r="K2" s="5" t="n"/>
      <c r="L2" s="5" t="n"/>
      <c r="M2" s="5" t="n"/>
    </row>
    <row r="3">
      <c r="B3" s="6" t="n">
        <v>2006</v>
      </c>
      <c r="C3" s="6" t="n">
        <v>2007</v>
      </c>
      <c r="D3" s="6" t="n">
        <v>2008</v>
      </c>
      <c r="E3" s="6" t="n">
        <v>2009</v>
      </c>
      <c r="F3" s="6" t="n">
        <v>2010</v>
      </c>
      <c r="G3" s="6" t="n">
        <v>2011</v>
      </c>
      <c r="H3" s="6" t="n">
        <v>2012</v>
      </c>
      <c r="I3" s="6" t="n">
        <v>2013</v>
      </c>
      <c r="J3" s="6" t="n">
        <v>2014</v>
      </c>
      <c r="K3" s="6" t="n">
        <v>2015</v>
      </c>
      <c r="L3" s="6" t="n">
        <v>2016</v>
      </c>
      <c r="M3" s="6" t="n">
        <v>2017</v>
      </c>
      <c r="N3" s="6" t="n">
        <v>2018</v>
      </c>
      <c r="O3" s="6" t="n">
        <v>2019</v>
      </c>
      <c r="P3" s="6" t="n">
        <v>2020</v>
      </c>
      <c r="Q3" s="6" t="n">
        <v>2021</v>
      </c>
      <c r="R3" s="6" t="n">
        <v>2022</v>
      </c>
      <c r="S3" s="6" t="n">
        <v>2023</v>
      </c>
      <c r="T3" s="6" t="n">
        <v>2024</v>
      </c>
      <c r="U3" s="6" t="n">
        <v>2025</v>
      </c>
      <c r="V3" s="6" t="n">
        <v>2026</v>
      </c>
    </row>
    <row r="4">
      <c r="A4" t="inlineStr">
        <is>
          <t>Jan</t>
        </is>
      </c>
      <c r="B4" s="7" t="n">
        <v>0.05152960183448</v>
      </c>
      <c r="C4" s="7" t="n">
        <v>0.010333114179268</v>
      </c>
      <c r="D4" s="7" t="n">
        <v>-0.0829922965816081</v>
      </c>
      <c r="E4" s="7" t="n">
        <v>-0.0851548593805623</v>
      </c>
      <c r="F4" s="7" t="n">
        <v>-0.0416065993913182</v>
      </c>
      <c r="G4" s="7" t="n">
        <v>0.0134033258341368</v>
      </c>
      <c r="H4" s="7" t="n">
        <v>0.0600137355380634</v>
      </c>
      <c r="I4" s="7" t="n">
        <v>0.0463294019316493</v>
      </c>
      <c r="J4" s="7" t="n">
        <v>-0.0379035583127979</v>
      </c>
      <c r="K4" s="7" t="n"/>
      <c r="L4" s="7" t="n">
        <v>-0.0632658066414872</v>
      </c>
      <c r="M4" s="7" t="n">
        <v>0.0265258606352902</v>
      </c>
      <c r="N4" s="7" t="n">
        <v>0.0533722157671307</v>
      </c>
      <c r="O4" s="7" t="n">
        <v>0.0804542284745121</v>
      </c>
      <c r="P4" s="7" t="n">
        <v>-0.0138808760869414</v>
      </c>
      <c r="Q4" s="7" t="n">
        <v>-0.00238261662361348</v>
      </c>
      <c r="R4" s="7" t="n">
        <v>-0.0523792632161004</v>
      </c>
      <c r="S4" s="7" t="n">
        <v>0.0729926532312118</v>
      </c>
      <c r="T4" s="7" t="n">
        <v>0.0331</v>
      </c>
      <c r="U4" s="7" t="n">
        <v>0.0362</v>
      </c>
      <c r="V4" s="8" t="n">
        <v>-0.0149</v>
      </c>
    </row>
    <row r="5">
      <c r="A5" t="inlineStr">
        <is>
          <t>Feb</t>
        </is>
      </c>
      <c r="B5" s="7" t="n">
        <v>-0.00303567224652142</v>
      </c>
      <c r="C5" s="7" t="n">
        <v>-0.00469615956096865</v>
      </c>
      <c r="D5" s="7" t="n">
        <v>0.00259237382686881</v>
      </c>
      <c r="E5" s="7" t="n">
        <v>-0.100105066542143</v>
      </c>
      <c r="F5" s="7" t="n">
        <v>0.0121589437178791</v>
      </c>
      <c r="G5" s="7" t="n">
        <v>0.027920361778352</v>
      </c>
      <c r="H5" s="7" t="n">
        <v>0.0483678046349364</v>
      </c>
      <c r="I5" s="7" t="n">
        <v>-0.000665668164420062</v>
      </c>
      <c r="J5" s="7" t="n">
        <v>0.0470310351013574</v>
      </c>
      <c r="K5" s="7" t="n">
        <v>0.01401800905237169</v>
      </c>
      <c r="L5" s="7" t="n">
        <v>-0.00714240831116609</v>
      </c>
      <c r="M5" s="7" t="n">
        <v>0.0259214256784123</v>
      </c>
      <c r="N5" s="7" t="n">
        <v>-0.0431989733755325</v>
      </c>
      <c r="O5" s="7" t="n">
        <v>0.0261996207110869</v>
      </c>
      <c r="P5" s="7" t="n">
        <v>-0.0831042503700572</v>
      </c>
      <c r="Q5" s="7" t="n">
        <v>0.0256133745194446</v>
      </c>
      <c r="R5" s="7" t="n">
        <v>-0.0240012771321776</v>
      </c>
      <c r="S5" s="7" t="n">
        <v>-0.0289344411425799</v>
      </c>
      <c r="T5" s="7" t="n">
        <v>0.043</v>
      </c>
      <c r="U5" s="7" t="n">
        <v>-0.0389</v>
      </c>
      <c r="V5" s="8" t="n">
        <v>0.0302</v>
      </c>
    </row>
    <row r="6">
      <c r="A6" t="inlineStr">
        <is>
          <t>Mar</t>
        </is>
      </c>
      <c r="B6" s="7" t="n">
        <v>0.0212646963784147</v>
      </c>
      <c r="C6" s="7" t="n">
        <v>0.0181867712760161</v>
      </c>
      <c r="D6" s="7" t="n">
        <v>-0.0179033155500279</v>
      </c>
      <c r="E6" s="7" t="n">
        <v>0.0800415126159434</v>
      </c>
      <c r="F6" s="7" t="n">
        <v>0.0636421180096874</v>
      </c>
      <c r="G6" s="7" t="n">
        <v>-0.00116555443824845</v>
      </c>
      <c r="H6" s="7" t="n">
        <v>0.00389817213757706</v>
      </c>
      <c r="I6" s="7" t="n">
        <v>0.0175076325284485</v>
      </c>
      <c r="J6" s="7" t="n">
        <v>0.00131357263199988</v>
      </c>
      <c r="K6" s="7" t="n">
        <v>-0.015519917227108</v>
      </c>
      <c r="L6" s="7" t="n">
        <v>0.07306653727690809</v>
      </c>
      <c r="M6" s="7" t="n">
        <v>0.009431065491073389</v>
      </c>
      <c r="N6" s="7" t="n">
        <v>-0.0209697472026524</v>
      </c>
      <c r="O6" s="7" t="n">
        <v>0.007826937710620841</v>
      </c>
      <c r="P6" s="7" t="n">
        <v>-0.146225399753998</v>
      </c>
      <c r="Q6" s="7" t="n">
        <v>0.0238212632992153</v>
      </c>
      <c r="R6" s="7" t="n">
        <v>0.0181277742996215</v>
      </c>
      <c r="S6" s="7" t="n">
        <v>0.0219649135955132</v>
      </c>
      <c r="T6" s="7" t="n">
        <v>0.0673</v>
      </c>
      <c r="U6" s="7" t="n">
        <v>-0.1053</v>
      </c>
      <c r="V6" s="7" t="n"/>
    </row>
    <row r="7">
      <c r="A7" t="inlineStr">
        <is>
          <t>Apr</t>
        </is>
      </c>
      <c r="B7" s="7" t="n">
        <v>0.0304479573582563</v>
      </c>
      <c r="C7" s="7" t="n">
        <v>0.0413317779513908</v>
      </c>
      <c r="D7" s="7" t="n">
        <v>0.0517896420715857</v>
      </c>
      <c r="E7" s="7" t="n">
        <v>0.120953696474686</v>
      </c>
      <c r="F7" s="7" t="n">
        <v>0.00435980697827859</v>
      </c>
      <c r="G7" s="7" t="n">
        <v>0.0384166571330511</v>
      </c>
      <c r="H7" s="7" t="n">
        <v>-0.0133538534390909</v>
      </c>
      <c r="I7" s="7" t="n">
        <v>0.0241129489809279</v>
      </c>
      <c r="J7" s="7" t="n">
        <v>0.00426826370074624</v>
      </c>
      <c r="K7" s="7" t="n">
        <v>0.0256750652248065</v>
      </c>
      <c r="L7" s="7" t="n">
        <v>0.0138699118262871</v>
      </c>
      <c r="M7" s="7" t="n">
        <v>0.0145836954632367</v>
      </c>
      <c r="N7" s="7" t="n">
        <v>0.00751162146353477</v>
      </c>
      <c r="O7" s="7" t="n">
        <v>0.0313573816971509</v>
      </c>
      <c r="P7" s="7" t="n">
        <v>0.108861055835187</v>
      </c>
      <c r="Q7" s="7" t="n">
        <v>0.0420953077222116</v>
      </c>
      <c r="R7" s="7" t="n">
        <v>-0.08073192215432839</v>
      </c>
      <c r="S7" s="7" t="n">
        <v>0.0110855801901783</v>
      </c>
      <c r="T7" s="7" t="n">
        <v>-0.0132</v>
      </c>
      <c r="U7" s="7" t="n">
        <v>-0.0315</v>
      </c>
      <c r="V7" s="7" t="n"/>
    </row>
    <row r="8">
      <c r="A8" t="inlineStr">
        <is>
          <t>May</t>
        </is>
      </c>
      <c r="B8" s="7" t="n">
        <v>-0.0428107469737231</v>
      </c>
      <c r="C8" s="7" t="n">
        <v>0.0277386666118539</v>
      </c>
      <c r="D8" s="7" t="n">
        <v>0.0143324883819181</v>
      </c>
      <c r="E8" s="7" t="n">
        <v>0.0958835610322349</v>
      </c>
      <c r="F8" s="7" t="n">
        <v>-0.0982301568900224</v>
      </c>
      <c r="G8" s="7" t="n">
        <v>-0.0250528820729771</v>
      </c>
      <c r="H8" s="7" t="n">
        <v>-0.0931343140313407</v>
      </c>
      <c r="I8" s="7" t="n">
        <v>-0.00443203852464253</v>
      </c>
      <c r="J8" s="7" t="n">
        <v>0.0170288894778691</v>
      </c>
      <c r="K8" s="7" t="n">
        <v>-0.00201337455957432</v>
      </c>
      <c r="L8" s="7" t="n">
        <v>-0.0009792325143976181</v>
      </c>
      <c r="M8" s="7" t="n">
        <v>0.016961058095907</v>
      </c>
      <c r="N8" s="7" t="n">
        <v>0.00100834173618126</v>
      </c>
      <c r="O8" s="7" t="n">
        <v>-0.0628025458674477</v>
      </c>
      <c r="P8" s="7" t="n">
        <v>0.0440604471006667</v>
      </c>
      <c r="Q8" s="7" t="n">
        <v>0.0130956225431788</v>
      </c>
      <c r="R8" s="7" t="n">
        <v>-0.00188022032325333</v>
      </c>
      <c r="S8" s="7" t="n">
        <v>-0.0144998488969477</v>
      </c>
      <c r="T8" s="7" t="n">
        <v>0.0011</v>
      </c>
      <c r="U8" s="7" t="n">
        <v>0.0547</v>
      </c>
      <c r="V8" s="7" t="n"/>
    </row>
    <row r="9">
      <c r="A9" t="inlineStr">
        <is>
          <t>Jun</t>
        </is>
      </c>
      <c r="B9" s="7" t="n">
        <v>-0.00309685379395434</v>
      </c>
      <c r="C9" s="7" t="n">
        <v>-0.00479999999999995</v>
      </c>
      <c r="D9" s="7" t="n">
        <v>-0.0838114476712101</v>
      </c>
      <c r="E9" s="7" t="n">
        <v>-0.00545922690828503</v>
      </c>
      <c r="F9" s="7" t="n">
        <v>-0.0333390469660611</v>
      </c>
      <c r="G9" s="7" t="n">
        <v>-0.0182950256514567</v>
      </c>
      <c r="H9" s="7" t="n">
        <v>0.0456073035194496</v>
      </c>
      <c r="I9" s="7" t="n">
        <v>-0.0309483551997946</v>
      </c>
      <c r="J9" s="7" t="n">
        <v>0.0196010908109416</v>
      </c>
      <c r="K9" s="7" t="n">
        <v>-0.0239120253620577</v>
      </c>
      <c r="L9" s="7" t="n">
        <v>-0.00922933589542037</v>
      </c>
      <c r="M9" s="7" t="n">
        <v>0.00413585134520448</v>
      </c>
      <c r="N9" s="7" t="n">
        <v>-0.00760073260073263</v>
      </c>
      <c r="O9" s="7" t="n">
        <v>0.0624915309628001</v>
      </c>
      <c r="P9" s="7" t="n">
        <v>0.0303247132024111</v>
      </c>
      <c r="Q9" s="7" t="n">
        <v>0.0108708794530486</v>
      </c>
      <c r="R9" s="7" t="n">
        <v>-0.0878424884981827</v>
      </c>
      <c r="S9" s="7" t="n">
        <v>0.0566448534507607</v>
      </c>
      <c r="T9" s="7" t="n">
        <v>0.0232</v>
      </c>
      <c r="U9" s="7" t="n">
        <v>0.0355</v>
      </c>
      <c r="V9" s="7" t="n"/>
    </row>
    <row r="10">
      <c r="A10" t="inlineStr">
        <is>
          <t>Jul</t>
        </is>
      </c>
      <c r="B10" s="7" t="n">
        <v>0.00316835604401038</v>
      </c>
      <c r="C10" s="7" t="n">
        <v>-0.0167905948553055</v>
      </c>
      <c r="D10" s="7" t="n">
        <v>-0.026253580033641</v>
      </c>
      <c r="E10" s="7" t="n">
        <v>0.08728637205263071</v>
      </c>
      <c r="F10" s="7" t="n">
        <v>0.0795726571504566</v>
      </c>
      <c r="G10" s="7" t="n">
        <v>-0.0176230215827337</v>
      </c>
      <c r="H10" s="7" t="n">
        <v>0.0105913168916952</v>
      </c>
      <c r="I10" s="7" t="n">
        <v>0.0482143251540518</v>
      </c>
      <c r="J10" s="7" t="n"/>
      <c r="K10" s="7" t="n">
        <v>0.00485342831043486</v>
      </c>
      <c r="L10" s="7" t="n">
        <v>0.0435106278773631</v>
      </c>
      <c r="M10" s="7" t="n">
        <v>0.0263654589838016</v>
      </c>
      <c r="N10" s="7" t="n">
        <v>0.026514102919012</v>
      </c>
      <c r="O10" s="7" t="n">
        <v>0.00182299676661895</v>
      </c>
      <c r="P10" s="7" t="n">
        <v>0.0505231215181847</v>
      </c>
      <c r="Q10" s="7" t="n">
        <v>0.00407759389339539</v>
      </c>
      <c r="R10" s="7" t="n">
        <v>0.0702026119131304</v>
      </c>
      <c r="S10" s="7" t="n">
        <v>0.0371705352115947</v>
      </c>
      <c r="T10" s="7" t="n">
        <v>0.0351</v>
      </c>
      <c r="U10" s="7" t="n">
        <v>0.0372</v>
      </c>
      <c r="V10" s="7" t="n"/>
    </row>
    <row r="11">
      <c r="A11" t="inlineStr">
        <is>
          <t>Aug</t>
        </is>
      </c>
      <c r="B11" s="7" t="n">
        <v>0.0238356671395966</v>
      </c>
      <c r="C11" s="7" t="n">
        <v>-0.0065509100757289</v>
      </c>
      <c r="D11" s="7" t="n">
        <v>-0.0218609211232755</v>
      </c>
      <c r="E11" s="7" t="n">
        <v>0.0360329133763338</v>
      </c>
      <c r="F11" s="7" t="n">
        <v>-0.0374218097701858</v>
      </c>
      <c r="G11" s="7" t="n">
        <v>-0.0769239782527185</v>
      </c>
      <c r="H11" s="7" t="n">
        <v>0.0206976860663127</v>
      </c>
      <c r="I11" s="7" t="n">
        <v>-0.0227454698693637</v>
      </c>
      <c r="J11" s="7" t="n"/>
      <c r="K11" s="7" t="n">
        <v>-0.06884107875816101</v>
      </c>
      <c r="L11" s="7" t="n">
        <v>0.00137986708219129</v>
      </c>
      <c r="M11" s="7" t="n">
        <v>0.0015365502811561</v>
      </c>
      <c r="N11" s="7" t="n">
        <v>0.00730380846792317</v>
      </c>
      <c r="O11" s="7" t="n">
        <v>-0.0271079826269283</v>
      </c>
      <c r="P11" s="7" t="n">
        <v>0.0590872836232728</v>
      </c>
      <c r="Q11" s="7" t="n">
        <v>0.0233157535655885</v>
      </c>
      <c r="R11" s="7" t="n">
        <v>-0.0372333516819949</v>
      </c>
      <c r="S11" s="7" t="n">
        <v>-0.0303764599224359</v>
      </c>
      <c r="T11" s="7" t="n">
        <v>-0.0214</v>
      </c>
      <c r="U11" s="7" t="n">
        <v>-0.0022</v>
      </c>
      <c r="V11" s="7" t="n"/>
    </row>
    <row r="12">
      <c r="A12" t="inlineStr">
        <is>
          <t>Sep</t>
        </is>
      </c>
      <c r="B12" s="7" t="n">
        <v>0.00959186378589422</v>
      </c>
      <c r="C12" s="7" t="n">
        <v>0.0497181301950456</v>
      </c>
      <c r="D12" s="7" t="n">
        <v>-0.12863194320148</v>
      </c>
      <c r="E12" s="7" t="n">
        <v>0.0459947343156792</v>
      </c>
      <c r="F12" s="7" t="n">
        <v>0.096153572698187</v>
      </c>
      <c r="G12" s="7" t="n">
        <v>-0.0996458447048071</v>
      </c>
      <c r="H12" s="7" t="n">
        <v>0.0301286848142106</v>
      </c>
      <c r="I12" s="7" t="n">
        <v>0.0519614924375545</v>
      </c>
      <c r="J12" s="7" t="n"/>
      <c r="K12" s="7" t="n">
        <v>-0.038331065222965</v>
      </c>
      <c r="L12" s="7" t="n">
        <v>0.00550248877473553</v>
      </c>
      <c r="M12" s="7" t="n">
        <v>0.0197976171046189</v>
      </c>
      <c r="N12" s="7" t="n">
        <v>-0.000133861839707931</v>
      </c>
      <c r="O12" s="7" t="n">
        <v>0.0190347906403941</v>
      </c>
      <c r="P12" s="7" t="n">
        <v>-0.0324716737906236</v>
      </c>
      <c r="Q12" s="7" t="n">
        <v>-0.0414100366160816</v>
      </c>
      <c r="R12" s="7" t="n">
        <v>-0.0982571323949815</v>
      </c>
      <c r="S12" s="7" t="n">
        <v>-0.043552287562838</v>
      </c>
      <c r="T12" s="7" t="n">
        <v>0.008</v>
      </c>
      <c r="U12" s="7" t="n">
        <v>0.0242</v>
      </c>
      <c r="V12" s="7" t="n"/>
    </row>
    <row r="13">
      <c r="A13" t="inlineStr">
        <is>
          <t>Okt</t>
        </is>
      </c>
      <c r="B13" s="7" t="n">
        <v>0.037573254717544</v>
      </c>
      <c r="C13" s="7" t="n">
        <v>0.0388667300398859</v>
      </c>
      <c r="D13" s="7" t="n">
        <v>-0.203176994180075</v>
      </c>
      <c r="E13" s="7" t="n">
        <v>-0.0184260662782127</v>
      </c>
      <c r="F13" s="7" t="n">
        <v>0.0358555917340148</v>
      </c>
      <c r="G13" s="7" t="n">
        <v>0.107360882008769</v>
      </c>
      <c r="H13" s="7" t="n">
        <v>-0.00755004584807025</v>
      </c>
      <c r="I13" s="7" t="n">
        <v>0.0382041585964482</v>
      </c>
      <c r="J13" s="7" t="n"/>
      <c r="K13" s="7" t="n">
        <v>0.0747649176057997</v>
      </c>
      <c r="L13" s="7" t="n">
        <v>-0.0200902429474392</v>
      </c>
      <c r="M13" s="7" t="n">
        <v>0.0194933021781924</v>
      </c>
      <c r="N13" s="7" t="n">
        <v>-0.0789593079903905</v>
      </c>
      <c r="O13" s="7" t="n">
        <v>0.0266177214807429</v>
      </c>
      <c r="P13" s="7" t="n">
        <v>-0.0223556141482707</v>
      </c>
      <c r="Q13" s="7" t="n">
        <v>0.0479625970126186</v>
      </c>
      <c r="R13" s="7" t="n">
        <v>0.0608187051179755</v>
      </c>
      <c r="S13" s="7" t="n">
        <v>-0.0339373751636827</v>
      </c>
      <c r="T13" s="7" t="n">
        <v>0.0339</v>
      </c>
      <c r="U13" s="8" t="n">
        <v>0.0276</v>
      </c>
      <c r="V13" s="7" t="n"/>
    </row>
    <row r="14">
      <c r="A14" t="inlineStr">
        <is>
          <t>Nov</t>
        </is>
      </c>
      <c r="B14" s="7" t="n">
        <v>0.0282983055526797</v>
      </c>
      <c r="C14" s="7" t="n">
        <v>-0.0475628967898346</v>
      </c>
      <c r="D14" s="7" t="n">
        <v>-0.06982539355193509</v>
      </c>
      <c r="E14" s="7" t="n">
        <v>0.0375580868185424</v>
      </c>
      <c r="F14" s="7" t="n">
        <v>-0.020726102365656</v>
      </c>
      <c r="G14" s="7" t="n">
        <v>-0.0320839274801386</v>
      </c>
      <c r="H14" s="7" t="n">
        <v>0.0106912729934364</v>
      </c>
      <c r="I14" s="7" t="n">
        <v>0.0126148713342347</v>
      </c>
      <c r="J14" s="7" t="n"/>
      <c r="K14" s="7" t="n">
        <v>-0.00769964698024992</v>
      </c>
      <c r="L14" s="7" t="n">
        <v>0.009266394573355799</v>
      </c>
      <c r="M14" s="7" t="n">
        <v>0.0181315834916249</v>
      </c>
      <c r="N14" s="7" t="n">
        <v>0.0125572343397965</v>
      </c>
      <c r="O14" s="7" t="n">
        <v>0.0235437803953884</v>
      </c>
      <c r="P14" s="7" t="n">
        <v>0.125451885006025</v>
      </c>
      <c r="Q14" s="7" t="n">
        <v>-0.0278112835855486</v>
      </c>
      <c r="R14" s="7" t="n">
        <v>0.07455088815016291</v>
      </c>
      <c r="S14" s="7" t="n">
        <v>0.090834702329271</v>
      </c>
      <c r="T14" s="7" t="n">
        <v>0.0693</v>
      </c>
      <c r="U14" s="8" t="n">
        <v>-0.0021</v>
      </c>
      <c r="V14" s="7" t="n"/>
    </row>
    <row r="15">
      <c r="A15" t="inlineStr">
        <is>
          <t>Dec</t>
        </is>
      </c>
      <c r="B15" s="7" t="n">
        <v>0.0209081451152801</v>
      </c>
      <c r="C15" s="7" t="n">
        <v>-0.0125687119298766</v>
      </c>
      <c r="D15" s="7" t="n">
        <v>0.0379676674364895</v>
      </c>
      <c r="E15" s="7" t="n">
        <v>0.0229535058373728</v>
      </c>
      <c r="F15" s="7" t="n">
        <v>0.0743388408614251</v>
      </c>
      <c r="G15" s="7" t="n">
        <v>-0.00405135220456703</v>
      </c>
      <c r="H15" s="7" t="n">
        <v>0.022723495191737</v>
      </c>
      <c r="I15" s="7" t="n">
        <v>0.0166102917523665</v>
      </c>
      <c r="J15" s="7" t="n"/>
      <c r="K15" s="7" t="n">
        <v>-0.0198840418064863</v>
      </c>
      <c r="L15" s="7" t="n">
        <v>0.0202573408116133</v>
      </c>
      <c r="M15" s="7" t="n">
        <v>0.0151643641297645</v>
      </c>
      <c r="N15" s="7" t="n">
        <v>-0.0736513860975533</v>
      </c>
      <c r="O15" s="7" t="n">
        <v>0.0341439220224703</v>
      </c>
      <c r="P15" s="7" t="n">
        <v>0.0485577352045174</v>
      </c>
      <c r="Q15" s="7" t="n">
        <v>0.0386138667504646</v>
      </c>
      <c r="R15" s="7" t="n">
        <v>-0.039579765758784</v>
      </c>
      <c r="S15" s="7" t="n">
        <v>0.051341369141352</v>
      </c>
      <c r="T15" s="7" t="n">
        <v>-0.018</v>
      </c>
      <c r="U15" s="8" t="n">
        <v>-0.0146</v>
      </c>
      <c r="V15" s="7" t="n"/>
    </row>
    <row r="16">
      <c r="A16" s="9" t="inlineStr">
        <is>
          <t>Annual</t>
        </is>
      </c>
      <c r="B16" s="10" t="n">
        <v>0.1890243902439022</v>
      </c>
      <c r="C16" s="10" t="n">
        <v>0.09243918474687773</v>
      </c>
      <c r="D16" s="10" t="n">
        <v>-0.4364869202375222</v>
      </c>
      <c r="E16" s="10" t="n">
        <v>0.333499466002136</v>
      </c>
      <c r="F16" s="10" t="n">
        <v>0.121375941053981</v>
      </c>
      <c r="G16" s="10" t="n">
        <v>-0.09871561380328286</v>
      </c>
      <c r="H16" s="10" t="n">
        <v>0.1377251835807487</v>
      </c>
      <c r="I16" s="10" t="n">
        <v>0.2106588967310552</v>
      </c>
      <c r="J16" s="10" t="n">
        <v>0.05041662271912273</v>
      </c>
      <c r="K16" s="10" t="n">
        <v>-0.06187159534989239</v>
      </c>
      <c r="L16" s="10" t="n">
        <v>0.0617942806690539</v>
      </c>
      <c r="M16" s="10" t="n">
        <v>0.2166140029935151</v>
      </c>
      <c r="N16" s="10" t="n">
        <v>-0.117907942800295</v>
      </c>
      <c r="O16" s="10" t="n">
        <v>0.238599089132437</v>
      </c>
      <c r="P16" s="10" t="n">
        <v>0.1435909555353205</v>
      </c>
      <c r="Q16" s="10" t="n">
        <v>0.1651603099832855</v>
      </c>
      <c r="R16" s="10" t="n">
        <v>-0.1983588769835882</v>
      </c>
      <c r="S16" s="10" t="n">
        <v>0.1947511924671217</v>
      </c>
      <c r="T16" s="10" t="n">
        <v>0.2885994899710354</v>
      </c>
      <c r="U16" s="10" t="n">
        <v>0.009445164972952114</v>
      </c>
      <c r="V16" s="10" t="n">
        <v>0.01485001999999991</v>
      </c>
    </row>
    <row r="19" ht="16" customHeight="1">
      <c r="A19" s="11" t="inlineStr">
        <is>
          <t>Athanase Industrial Partner Net Returns</t>
        </is>
      </c>
      <c r="B19" s="12" t="n"/>
      <c r="C19" s="12" t="n"/>
      <c r="D19" s="12" t="n"/>
      <c r="E19" s="12" t="n"/>
      <c r="F19" s="12" t="n"/>
      <c r="G19" s="13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4" t="inlineStr">
        <is>
          <t>,</t>
        </is>
      </c>
      <c r="Q19" s="14" t="n"/>
      <c r="R19" s="14" t="n"/>
      <c r="S19" s="14" t="n"/>
      <c r="T19" s="14" t="n"/>
      <c r="U19" s="14" t="n"/>
      <c r="V19" s="14" t="n"/>
    </row>
    <row r="20">
      <c r="A20" s="6" t="n"/>
    </row>
    <row r="21">
      <c r="B21" s="6" t="n">
        <v>2006</v>
      </c>
      <c r="C21" s="6" t="n">
        <v>2007</v>
      </c>
      <c r="D21" s="6" t="n">
        <v>2008</v>
      </c>
      <c r="E21" s="6" t="n">
        <v>2009</v>
      </c>
      <c r="F21" s="6" t="n">
        <v>2010</v>
      </c>
      <c r="G21" s="6" t="n">
        <v>2011</v>
      </c>
      <c r="H21" s="6" t="n">
        <v>2012</v>
      </c>
      <c r="I21" s="6" t="n">
        <v>2013</v>
      </c>
      <c r="J21" s="6" t="n">
        <v>2014</v>
      </c>
      <c r="K21" s="6" t="n">
        <v>2015</v>
      </c>
      <c r="L21" s="6" t="n">
        <v>2016</v>
      </c>
      <c r="M21" s="6" t="n">
        <v>2017</v>
      </c>
      <c r="N21" s="6" t="n">
        <v>2018</v>
      </c>
      <c r="O21" s="6" t="n">
        <v>2019</v>
      </c>
      <c r="P21" s="6" t="n">
        <v>2020</v>
      </c>
      <c r="Q21" s="6" t="n">
        <v>2021</v>
      </c>
      <c r="R21" s="6" t="n">
        <v>2022</v>
      </c>
      <c r="S21" s="6" t="n">
        <v>2023</v>
      </c>
      <c r="T21" s="6" t="n">
        <v>2024</v>
      </c>
      <c r="U21" s="6" t="n">
        <v>2025</v>
      </c>
      <c r="V21" s="6" t="n">
        <v>2026</v>
      </c>
    </row>
    <row r="22">
      <c r="A22" t="inlineStr">
        <is>
          <t>Jan</t>
        </is>
      </c>
      <c r="B22" s="15" t="n">
        <v>0.05769230769230771</v>
      </c>
      <c r="C22" s="15" t="n">
        <v>0.03283226245013759</v>
      </c>
      <c r="D22" s="15" t="n">
        <v>-0.1094839324782767</v>
      </c>
      <c r="E22" s="15" t="n">
        <v>0.005293158896960026</v>
      </c>
      <c r="F22" s="15" t="n">
        <v>0.02009241404755824</v>
      </c>
      <c r="G22" s="15" t="n">
        <v>-0.01958363739568914</v>
      </c>
      <c r="H22" s="15" t="n">
        <v>0.05947431330736253</v>
      </c>
      <c r="I22" s="15" t="n">
        <v>0.07579425113464455</v>
      </c>
      <c r="J22" s="15" t="n">
        <v>0.06508875739644981</v>
      </c>
      <c r="K22" s="15" t="n"/>
      <c r="L22" s="16" t="n">
        <v>-0.04811435610180694</v>
      </c>
      <c r="M22" s="16" t="n">
        <v>0.05397303435008862</v>
      </c>
      <c r="N22" s="16" t="n">
        <v>0.04471008830420845</v>
      </c>
      <c r="O22" s="15" t="n">
        <v>0.0577</v>
      </c>
      <c r="P22" s="17" t="n">
        <v>0.005647078906423595</v>
      </c>
      <c r="Q22" s="18" t="n">
        <v>0.04833487381031468</v>
      </c>
      <c r="R22" s="8" t="n">
        <v>-0.0121</v>
      </c>
      <c r="S22" s="8" t="n">
        <v>0</v>
      </c>
      <c r="T22" s="8" t="n">
        <v>0.025</v>
      </c>
      <c r="U22" s="8" t="n">
        <v>0.0348</v>
      </c>
      <c r="V22" s="8" t="n">
        <v>-0.0217</v>
      </c>
    </row>
    <row r="23">
      <c r="A23" t="inlineStr">
        <is>
          <t>Feb</t>
        </is>
      </c>
      <c r="B23" s="15" t="n">
        <v>0.04545454545454541</v>
      </c>
      <c r="C23" s="15" t="n">
        <v>0.002947735922945061</v>
      </c>
      <c r="D23" s="15" t="n">
        <v>0.07200744333714826</v>
      </c>
      <c r="E23" s="15" t="n">
        <v>0.02211721674136102</v>
      </c>
      <c r="F23" s="15" t="n">
        <v>-0.01968117501280431</v>
      </c>
      <c r="G23" s="15" t="n">
        <v>-0.01150622595183581</v>
      </c>
      <c r="H23" s="15" t="n">
        <v>0.1120334637189713</v>
      </c>
      <c r="I23" s="15" t="n">
        <v>0.06384474757418079</v>
      </c>
      <c r="J23" s="15" t="n">
        <v>0.07407407407407396</v>
      </c>
      <c r="K23" s="16" t="n">
        <v>0.003003333333333506</v>
      </c>
      <c r="L23" s="16" t="n">
        <v>0.01256468515258499</v>
      </c>
      <c r="M23" s="16" t="n">
        <v>0.04542817720030104</v>
      </c>
      <c r="N23" s="16" t="n">
        <v>-0.001058128138890638</v>
      </c>
      <c r="O23" s="15" t="n">
        <v>0.0142</v>
      </c>
      <c r="P23" s="17" t="n">
        <v>-0.08402589832181569</v>
      </c>
      <c r="Q23" s="18" t="n">
        <v>0.8752752552301281</v>
      </c>
      <c r="R23" s="8" t="n">
        <v>-0.0168</v>
      </c>
      <c r="S23" s="8" t="n">
        <v>-0.06510000000000001</v>
      </c>
      <c r="T23" s="19" t="n">
        <v>0.0265</v>
      </c>
      <c r="U23" s="19" t="n">
        <v>-0.0005</v>
      </c>
      <c r="V23" s="8" t="n">
        <v>-0.0042</v>
      </c>
    </row>
    <row r="24">
      <c r="A24" t="inlineStr">
        <is>
          <t>Mar</t>
        </is>
      </c>
      <c r="B24" s="15" t="n">
        <v>0.008695652173912993</v>
      </c>
      <c r="C24" s="15" t="n">
        <v>0.04248745922205877</v>
      </c>
      <c r="D24" s="15" t="n">
        <v>-0.003164269975429401</v>
      </c>
      <c r="E24" s="15" t="n">
        <v>0.03110631291008059</v>
      </c>
      <c r="F24" s="15" t="n">
        <v>0.07190705725280511</v>
      </c>
      <c r="G24" s="15" t="n">
        <v>0.0552272856660625</v>
      </c>
      <c r="H24" s="15" t="n">
        <v>-0.05065928972918143</v>
      </c>
      <c r="I24" s="15" t="n">
        <v>0.01490581625908804</v>
      </c>
      <c r="J24" s="15" t="n">
        <v>0.006164824923445611</v>
      </c>
      <c r="K24" s="16" t="n">
        <v>0.02224711798897295</v>
      </c>
      <c r="L24" s="16" t="n">
        <v>0.001992898488863977</v>
      </c>
      <c r="M24" s="16" t="n">
        <v>0.005176378753695086</v>
      </c>
      <c r="N24" s="16" t="n">
        <v>-0.01592117796915208</v>
      </c>
      <c r="O24" s="15" t="n">
        <v>-0.0391</v>
      </c>
      <c r="P24" s="17" t="n">
        <v>-0.1848207731900183</v>
      </c>
      <c r="Q24" s="18" t="n">
        <v>0.02801065252392287</v>
      </c>
      <c r="R24" s="8" t="n">
        <v>0.0049</v>
      </c>
      <c r="S24" s="8" t="n">
        <v>-0.06950000000000001</v>
      </c>
      <c r="T24" s="19" t="n">
        <v>0.0513</v>
      </c>
      <c r="U24" s="19" t="n">
        <v>-0.0179</v>
      </c>
      <c r="V24" s="19" t="n"/>
    </row>
    <row r="25">
      <c r="A25" t="inlineStr">
        <is>
          <t>Apr</t>
        </is>
      </c>
      <c r="B25" s="15" t="n">
        <v>0.06034482758620685</v>
      </c>
      <c r="C25" s="15" t="n">
        <v>0.03983129684196052</v>
      </c>
      <c r="D25" s="15" t="n">
        <v>-0.04732620515639341</v>
      </c>
      <c r="E25" s="15" t="n">
        <v>0.2167998218632103</v>
      </c>
      <c r="F25" s="15" t="n">
        <v>0.09456354204372919</v>
      </c>
      <c r="G25" s="15" t="n">
        <v>-0.003257529798587844</v>
      </c>
      <c r="H25" s="15" t="n">
        <v>-0.007776771077835476</v>
      </c>
      <c r="I25" s="15" t="n">
        <v>-0.04278753087243869</v>
      </c>
      <c r="J25" s="15" t="n">
        <v>0.022</v>
      </c>
      <c r="K25" s="16" t="n">
        <v>0.01472797167778642</v>
      </c>
      <c r="L25" s="16" t="n">
        <v>0.04401629302086638</v>
      </c>
      <c r="M25" s="16" t="n">
        <v>0.08468899819652241</v>
      </c>
      <c r="N25" s="15" t="n">
        <v>0.0101</v>
      </c>
      <c r="O25" s="15" t="n">
        <v>0.0491</v>
      </c>
      <c r="P25" s="17" t="n">
        <v>0.119280664695711</v>
      </c>
      <c r="Q25" s="18" t="n">
        <v>0.01807201928230029</v>
      </c>
      <c r="R25" s="8" t="n">
        <v>-0.029</v>
      </c>
      <c r="S25" s="8" t="n">
        <v>0.0487</v>
      </c>
      <c r="T25" s="19" t="n">
        <v>0.0124</v>
      </c>
      <c r="U25" s="19" t="n">
        <v>-0.0141</v>
      </c>
      <c r="V25" s="19" t="n"/>
    </row>
    <row r="26">
      <c r="A26" t="inlineStr">
        <is>
          <t>May</t>
        </is>
      </c>
      <c r="B26" s="15" t="n">
        <v>0.02168021680216792</v>
      </c>
      <c r="C26" s="15" t="n">
        <v>0.01681927032571662</v>
      </c>
      <c r="D26" s="15" t="n">
        <v>0.02054380611856144</v>
      </c>
      <c r="E26" s="15" t="n">
        <v>0.06368425631717645</v>
      </c>
      <c r="F26" s="15" t="n">
        <v>-0.0860622643150154</v>
      </c>
      <c r="G26" s="15" t="n">
        <v>-0.02400010659918062</v>
      </c>
      <c r="H26" s="15" t="n">
        <v>-0.06687702181296884</v>
      </c>
      <c r="I26" s="15" t="n">
        <v>0.05404463040446328</v>
      </c>
      <c r="J26" s="15" t="n">
        <v>0.01568334578043329</v>
      </c>
      <c r="K26" s="16" t="n">
        <v>0.02283077920976535</v>
      </c>
      <c r="L26" s="16" t="n">
        <v>0.02674414033555649</v>
      </c>
      <c r="M26" s="16" t="n">
        <v>-0.03071069290804054</v>
      </c>
      <c r="N26" s="15" t="n">
        <v>0.0365</v>
      </c>
      <c r="O26" s="15" t="n">
        <v>-0.0752</v>
      </c>
      <c r="P26" s="17" t="n">
        <v>-0.001970186131245716</v>
      </c>
      <c r="Q26" s="18" t="n">
        <v>-0.004485689932684263</v>
      </c>
      <c r="R26" s="8" t="n">
        <v>-0.0066</v>
      </c>
      <c r="S26" s="8" t="n">
        <v>-0.0017</v>
      </c>
      <c r="T26" s="19" t="n">
        <v>0.0156</v>
      </c>
      <c r="U26" s="19" t="n">
        <v>0.0704</v>
      </c>
      <c r="V26" s="19" t="n"/>
    </row>
    <row r="27">
      <c r="A27" t="inlineStr">
        <is>
          <t>Jun</t>
        </is>
      </c>
      <c r="B27" s="15" t="n">
        <v>-0.05603448275862077</v>
      </c>
      <c r="C27" s="15" t="n">
        <v>-0.03916374513786169</v>
      </c>
      <c r="D27" s="15" t="n">
        <v>-0.1787147608903864</v>
      </c>
      <c r="E27" s="15" t="n">
        <v>-0.01204002514091673</v>
      </c>
      <c r="F27" s="15" t="n">
        <v>-0.02648325468484081</v>
      </c>
      <c r="G27" s="15" t="n">
        <v>-0.04226413083798386</v>
      </c>
      <c r="H27" s="15" t="n">
        <v>-0.01770207127637091</v>
      </c>
      <c r="I27" s="15" t="n">
        <v>-0.03076414158121066</v>
      </c>
      <c r="J27" s="15" t="n">
        <v>0.009803921568627416</v>
      </c>
      <c r="K27" s="16" t="n">
        <v>-0.02847897432972848</v>
      </c>
      <c r="L27" s="16" t="n">
        <v>-0.02465164791105824</v>
      </c>
      <c r="M27" s="16" t="n">
        <v>-0.01011848512083613</v>
      </c>
      <c r="N27" s="15" t="n">
        <v>-0.0051</v>
      </c>
      <c r="O27" s="15" t="n">
        <v>0.0024</v>
      </c>
      <c r="P27" s="20" t="n">
        <v>0.03047125664232128</v>
      </c>
      <c r="Q27" s="18" t="n">
        <v>0.004334444128535574</v>
      </c>
      <c r="R27" s="18" t="n">
        <v>-0.0386</v>
      </c>
      <c r="S27" s="18" t="n">
        <v>0.06419999999999999</v>
      </c>
      <c r="T27" s="19" t="n">
        <v>-0.0077</v>
      </c>
      <c r="U27" s="19" t="n">
        <v>0.0181</v>
      </c>
      <c r="V27" s="19" t="n"/>
    </row>
    <row r="28">
      <c r="A28" t="inlineStr">
        <is>
          <t>Jul</t>
        </is>
      </c>
      <c r="B28" s="15" t="n">
        <v>0.02283105022831067</v>
      </c>
      <c r="C28" s="15" t="n">
        <v>-0.02010350996953081</v>
      </c>
      <c r="D28" s="15" t="n">
        <v>0.007571042500703618</v>
      </c>
      <c r="E28" s="15" t="n">
        <v>0.08304526122504186</v>
      </c>
      <c r="F28" s="15" t="n">
        <v>0.07408273650739994</v>
      </c>
      <c r="G28" s="15" t="n">
        <v>-0.03248981957386932</v>
      </c>
      <c r="H28" s="15" t="n">
        <v>-0.02814772910557894</v>
      </c>
      <c r="I28" s="15" t="n">
        <v>0.08259385665528995</v>
      </c>
      <c r="J28" s="15" t="n"/>
      <c r="K28" s="16" t="n">
        <v>0.01694372333019374</v>
      </c>
      <c r="L28" s="16" t="n">
        <v>0.03241060206803589</v>
      </c>
      <c r="M28" s="16" t="n">
        <v>-0.009390644635373101</v>
      </c>
      <c r="N28" s="15" t="n">
        <v>0.00352251261507575</v>
      </c>
      <c r="O28" s="15" t="n">
        <v>-0.0534</v>
      </c>
      <c r="P28" s="20" t="n">
        <v>0.02977050272457911</v>
      </c>
      <c r="Q28" s="18" t="n">
        <v>-0.003707708599542431</v>
      </c>
      <c r="R28" s="18" t="n">
        <v>0.0039</v>
      </c>
      <c r="S28" s="18" t="n">
        <v>0.0523</v>
      </c>
      <c r="T28" s="19" t="n">
        <v>0.0603</v>
      </c>
      <c r="U28" s="19" t="n">
        <v>0.0251</v>
      </c>
      <c r="V28" s="19" t="n"/>
    </row>
    <row r="29">
      <c r="A29" t="inlineStr">
        <is>
          <t>Aug</t>
        </is>
      </c>
      <c r="B29" s="15" t="n">
        <v>0.0535714285714286</v>
      </c>
      <c r="C29" s="15" t="n">
        <v>-0.02397739538747012</v>
      </c>
      <c r="D29" s="15" t="n">
        <v>0.037663592564674</v>
      </c>
      <c r="E29" s="15" t="n">
        <v>0.08678508150760433</v>
      </c>
      <c r="F29" s="15" t="n">
        <v>-0.05536169405692515</v>
      </c>
      <c r="G29" s="15" t="n">
        <v>-0.04171642359814864</v>
      </c>
      <c r="H29" s="15" t="n">
        <v>0.02055156921869794</v>
      </c>
      <c r="I29" s="15" t="n">
        <v>-0.003783102143757766</v>
      </c>
      <c r="J29" s="15" t="n"/>
      <c r="K29" s="16" t="n">
        <v>-0.03109509642909186</v>
      </c>
      <c r="L29" s="16" t="n">
        <v>0.07520709030909604</v>
      </c>
      <c r="M29" s="16" t="n">
        <v>-0.03921324673065697</v>
      </c>
      <c r="N29" s="15" t="n">
        <v>-0.0083</v>
      </c>
      <c r="O29" s="15" t="n">
        <v>-0.0974</v>
      </c>
      <c r="P29" s="20" t="n">
        <v>0.1001221194406504</v>
      </c>
      <c r="Q29" s="18" t="n">
        <v>0.01041396951936141</v>
      </c>
      <c r="R29" s="18" t="n">
        <v>-0.036</v>
      </c>
      <c r="S29" s="18" t="n">
        <v>-0.02094981427014751</v>
      </c>
      <c r="T29" s="19" t="n">
        <v>-0.0143</v>
      </c>
      <c r="U29" s="19" t="n">
        <v>-0.0147</v>
      </c>
      <c r="V29" s="19" t="n"/>
    </row>
    <row r="30">
      <c r="A30" t="inlineStr">
        <is>
          <t>Sep</t>
        </is>
      </c>
      <c r="B30" s="15" t="n">
        <v>0.09322033898305082</v>
      </c>
      <c r="C30" s="15" t="n">
        <v>-0.04856476109562269</v>
      </c>
      <c r="D30" s="15" t="n">
        <v>-0.1387329185438578</v>
      </c>
      <c r="E30" s="15" t="n">
        <v>0.03623117418234512</v>
      </c>
      <c r="F30" s="15" t="n">
        <v>0.1329632443869206</v>
      </c>
      <c r="G30" s="15" t="n">
        <v>-0.04019567495503229</v>
      </c>
      <c r="H30" s="15" t="n">
        <v>0.03995540840631961</v>
      </c>
      <c r="I30" s="15" t="n">
        <v>0.05170886075949355</v>
      </c>
      <c r="J30" s="15" t="n"/>
      <c r="K30" s="16" t="n">
        <v>-0.005922471850157965</v>
      </c>
      <c r="L30" s="16" t="n">
        <v>0.03061020687846229</v>
      </c>
      <c r="M30" s="16" t="n">
        <v>0.02180279902023708</v>
      </c>
      <c r="N30" s="15" t="n">
        <v>-0.0187</v>
      </c>
      <c r="O30" s="15" t="n">
        <v>0.0166</v>
      </c>
      <c r="P30" s="17" t="n">
        <v>0.02616634572660634</v>
      </c>
      <c r="Q30" s="18" t="n">
        <v>0.2615038543208454</v>
      </c>
      <c r="R30" s="18" t="n">
        <v>-0.0528</v>
      </c>
      <c r="S30" s="18" t="n">
        <v>-0.0173</v>
      </c>
      <c r="T30" s="19" t="n">
        <v>0.0017</v>
      </c>
      <c r="U30" s="19" t="n">
        <v>-0.0051</v>
      </c>
      <c r="V30" s="19" t="n"/>
    </row>
    <row r="31">
      <c r="A31" t="inlineStr">
        <is>
          <t>Okt</t>
        </is>
      </c>
      <c r="B31" s="15" t="n">
        <v>0.08527131782945729</v>
      </c>
      <c r="C31" s="15" t="n">
        <v>-0.024190220404534</v>
      </c>
      <c r="D31" s="15" t="n">
        <v>-0.1266053315765557</v>
      </c>
      <c r="E31" s="15" t="n">
        <v>0.04787717012212478</v>
      </c>
      <c r="F31" s="15" t="n">
        <v>-0.008330238707675686</v>
      </c>
      <c r="G31" s="15" t="n">
        <v>0.05216372156795313</v>
      </c>
      <c r="H31" s="15" t="n">
        <v>-0.03391453220459906</v>
      </c>
      <c r="I31" s="15" t="n">
        <v>0.03749172534151768</v>
      </c>
      <c r="J31" s="15" t="n"/>
      <c r="K31" s="16" t="n">
        <v>0.008008333333333364</v>
      </c>
      <c r="L31" s="16" t="n">
        <v>0.0108293704043387</v>
      </c>
      <c r="M31" s="16" t="n">
        <v>-0.03677851080325996</v>
      </c>
      <c r="N31" s="15" t="n">
        <v>-0.038</v>
      </c>
      <c r="O31" s="15" t="n">
        <v>-0.001</v>
      </c>
      <c r="P31" s="17" t="n">
        <v>-0.0585889789982284</v>
      </c>
      <c r="Q31" s="18" t="n">
        <v>0.1071</v>
      </c>
      <c r="R31" s="18" t="n">
        <v>0.06279999999999999</v>
      </c>
      <c r="S31" s="18" t="n">
        <v>-0.0329</v>
      </c>
      <c r="T31" s="19" t="n">
        <v>-0.0008</v>
      </c>
      <c r="U31" s="8" t="n">
        <v>-0.0296</v>
      </c>
      <c r="V31" s="19" t="n"/>
    </row>
    <row r="32">
      <c r="A32" t="inlineStr">
        <is>
          <t>Nov</t>
        </is>
      </c>
      <c r="B32" s="15" t="n">
        <v>0.1107142857142858</v>
      </c>
      <c r="C32" s="15" t="n">
        <v>-0.04658980695885118</v>
      </c>
      <c r="D32" s="15" t="n">
        <v>-0.004293778420725869</v>
      </c>
      <c r="E32" s="15" t="n">
        <v>0.02841333302986326</v>
      </c>
      <c r="F32" s="15" t="n">
        <v>0.009552616079277598</v>
      </c>
      <c r="G32" s="15" t="n">
        <v>-0.03747667021593792</v>
      </c>
      <c r="H32" s="15" t="n">
        <v>0.01856930188827111</v>
      </c>
      <c r="I32" s="15" t="n">
        <v>0.02436194895591659</v>
      </c>
      <c r="J32" s="15" t="n"/>
      <c r="K32" s="16" t="n">
        <v>0.04962961615727386</v>
      </c>
      <c r="L32" s="16" t="n">
        <v>0.0418236345637662</v>
      </c>
      <c r="M32" s="16" t="n">
        <v>-0.005585039290654814</v>
      </c>
      <c r="N32" s="15" t="n">
        <v>-0.0599</v>
      </c>
      <c r="O32" s="15" t="n">
        <v>0.048</v>
      </c>
      <c r="P32" s="17" t="n">
        <v>0.1264930445429527</v>
      </c>
      <c r="Q32" s="8" t="n">
        <v>0.0235</v>
      </c>
      <c r="R32" s="18" t="n">
        <v>0.1437</v>
      </c>
      <c r="S32" s="18" t="n">
        <v>0.0119</v>
      </c>
      <c r="T32" s="19" t="n">
        <v>0.0533</v>
      </c>
      <c r="U32" s="8" t="n">
        <v>-0.0077</v>
      </c>
      <c r="V32" s="19" t="n"/>
    </row>
    <row r="33">
      <c r="A33" t="inlineStr">
        <is>
          <t>Dec</t>
        </is>
      </c>
      <c r="B33" s="15" t="n">
        <v>0.003215434083601476</v>
      </c>
      <c r="C33" s="15" t="n">
        <v>-0.01008997935998057</v>
      </c>
      <c r="D33" s="15" t="n">
        <v>-0.01527282818296427</v>
      </c>
      <c r="E33" s="15" t="n">
        <v>0.02281413224530748</v>
      </c>
      <c r="F33" s="15" t="n">
        <v>0.06805002233470714</v>
      </c>
      <c r="G33" s="15" t="n">
        <v>0.1417942759530422</v>
      </c>
      <c r="H33" s="15" t="n">
        <v>0.0169230769230766</v>
      </c>
      <c r="I33" s="15" t="n">
        <v>0.004813137032842363</v>
      </c>
      <c r="J33" s="15" t="n"/>
      <c r="K33" s="16" t="n">
        <v>0.02017857814587296</v>
      </c>
      <c r="L33" s="16" t="n">
        <v>0.04104910831893097</v>
      </c>
      <c r="M33" s="16" t="n">
        <v>-0.02742345210166468</v>
      </c>
      <c r="N33" s="15" t="n">
        <v>-0.0767</v>
      </c>
      <c r="O33" s="15" t="n">
        <v>0.032</v>
      </c>
      <c r="P33" s="17" t="n">
        <v>0.09741898975832396</v>
      </c>
      <c r="Q33" s="8" t="n">
        <v>0.015</v>
      </c>
      <c r="R33" s="18" t="n">
        <v>-0.0055</v>
      </c>
      <c r="S33" s="18" t="n">
        <v>0.0357</v>
      </c>
      <c r="T33" s="19" t="n">
        <v>0.0054</v>
      </c>
      <c r="U33" s="8" t="n">
        <v>-0.0144</v>
      </c>
      <c r="V33" s="19" t="n"/>
    </row>
    <row r="34">
      <c r="A34" s="9" t="inlineStr">
        <is>
          <t>Annual</t>
        </is>
      </c>
      <c r="B34" s="21" t="n">
        <v>0.6250000000000002</v>
      </c>
      <c r="C34" s="21" t="n">
        <v>-0.08062019482122695</v>
      </c>
      <c r="D34" s="21" t="n">
        <v>-0.4140496354902724</v>
      </c>
      <c r="E34" s="21" t="n">
        <v>0.8213349484925843</v>
      </c>
      <c r="F34" s="21" t="n">
        <v>0.2831331843174127</v>
      </c>
      <c r="G34" s="21" t="n">
        <v>-0.01955388728307161</v>
      </c>
      <c r="H34" s="21" t="n">
        <v>0.04994380973938051</v>
      </c>
      <c r="I34" s="21" t="n">
        <v>0.3758415279878971</v>
      </c>
      <c r="J34" s="21" t="n">
        <v>0.206522554233797</v>
      </c>
      <c r="K34" s="21" t="n">
        <v>0.09304646678283324</v>
      </c>
      <c r="L34" s="21" t="n">
        <v>0.2664374651721058</v>
      </c>
      <c r="M34" s="21" t="n">
        <v>0.04429205049304796</v>
      </c>
      <c r="N34" s="21" t="n">
        <v>-0.1276712378839798</v>
      </c>
      <c r="O34" s="21" t="n">
        <v>-0.05921914064792166</v>
      </c>
      <c r="P34" s="21" t="n">
        <v>0.1694446445876867</v>
      </c>
      <c r="Q34" s="21" t="n">
        <v>2.004570998723674</v>
      </c>
      <c r="R34" s="21" t="n">
        <v>0.003004396580680968</v>
      </c>
      <c r="S34" s="21" t="n">
        <v>-0.005452415386828169</v>
      </c>
      <c r="T34" s="21" t="n">
        <v>0.2502068834538154</v>
      </c>
      <c r="U34" s="21" t="n">
        <v>0.04081359244211957</v>
      </c>
      <c r="V34" s="21" t="n">
        <v>-0.02580886000000004</v>
      </c>
    </row>
  </sheetData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Stefan Charette</dc:creator>
  <dcterms:created xsi:type="dcterms:W3CDTF">2026-05-30T22:27:38Z</dcterms:created>
  <dcterms:modified xsi:type="dcterms:W3CDTF">2026-06-22T15:17:03Z</dcterms:modified>
  <cp:lastModifiedBy>Stefan Charette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0x0101006310709CD82A6741BE5E8B9BFA41D3C0</vt:lpwstr>
  </property>
</Properties>
</file>